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 Vignesh\Downloads\"/>
    </mc:Choice>
  </mc:AlternateContent>
  <xr:revisionPtr revIDLastSave="0" documentId="13_ncr:1_{E58A6A69-621B-4617-BF73-C94682969AD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ustomers" sheetId="1" r:id="rId1"/>
    <sheet name="Stores" sheetId="3" r:id="rId2"/>
    <sheet name="Sales" sheetId="4" r:id="rId3"/>
    <sheet name="Products" sheetId="2" r:id="rId4"/>
    <sheet name="Sales table" sheetId="5" r:id="rId5"/>
    <sheet name="Pivot Table" sheetId="6" r:id="rId6"/>
  </sheets>
  <calcPr calcId="181029"/>
  <pivotCaches>
    <pivotCache cacheId="4" r:id="rId7"/>
  </pivotCaches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</calcChain>
</file>

<file path=xl/sharedStrings.xml><?xml version="1.0" encoding="utf-8"?>
<sst xmlns="http://schemas.openxmlformats.org/spreadsheetml/2006/main" count="2021" uniqueCount="929">
  <si>
    <t>Customer_ID</t>
  </si>
  <si>
    <t>Gender</t>
  </si>
  <si>
    <t>Age</t>
  </si>
  <si>
    <t>City</t>
  </si>
  <si>
    <t>State</t>
  </si>
  <si>
    <t>Email</t>
  </si>
  <si>
    <t>Phone</t>
  </si>
  <si>
    <t>Male</t>
  </si>
  <si>
    <t>Mumbai</t>
  </si>
  <si>
    <t>Maharashtra</t>
  </si>
  <si>
    <t>+917586628229</t>
  </si>
  <si>
    <t>West Bengal</t>
  </si>
  <si>
    <t>+917170907647</t>
  </si>
  <si>
    <t>Chennai</t>
  </si>
  <si>
    <t>Karnataka</t>
  </si>
  <si>
    <t>+919289049648</t>
  </si>
  <si>
    <t>Female</t>
  </si>
  <si>
    <t>+919670952298</t>
  </si>
  <si>
    <t>Telangana</t>
  </si>
  <si>
    <t>+917895369063</t>
  </si>
  <si>
    <t>Delhi</t>
  </si>
  <si>
    <t>+917781869953</t>
  </si>
  <si>
    <t>Pune</t>
  </si>
  <si>
    <t>+918500897050</t>
  </si>
  <si>
    <t>Tamil Nadu</t>
  </si>
  <si>
    <t>+918994109975</t>
  </si>
  <si>
    <t>+917425019165</t>
  </si>
  <si>
    <t>+916523341479</t>
  </si>
  <si>
    <t>Hyderabad</t>
  </si>
  <si>
    <t>+917864447959</t>
  </si>
  <si>
    <t>+918179068653</t>
  </si>
  <si>
    <t>+916757001273</t>
  </si>
  <si>
    <t>+919062069419</t>
  </si>
  <si>
    <t>+916411952148</t>
  </si>
  <si>
    <t>+918648140098</t>
  </si>
  <si>
    <t>Kolkata</t>
  </si>
  <si>
    <t>+917161386903</t>
  </si>
  <si>
    <t>+916503873317</t>
  </si>
  <si>
    <t>+917439932633</t>
  </si>
  <si>
    <t>+917416500017</t>
  </si>
  <si>
    <t>+917084784326</t>
  </si>
  <si>
    <t>+919328922880</t>
  </si>
  <si>
    <t>+917945238143</t>
  </si>
  <si>
    <t>+916002583083</t>
  </si>
  <si>
    <t>+918768696645</t>
  </si>
  <si>
    <t>+918152015937</t>
  </si>
  <si>
    <t>+918687835594</t>
  </si>
  <si>
    <t>+917775723134</t>
  </si>
  <si>
    <t>+917072540312</t>
  </si>
  <si>
    <t>Bangalore</t>
  </si>
  <si>
    <t>+917656627454</t>
  </si>
  <si>
    <t>+917528074720</t>
  </si>
  <si>
    <t>+916377374562</t>
  </si>
  <si>
    <t>+919205421900</t>
  </si>
  <si>
    <t>+916943952712</t>
  </si>
  <si>
    <t>+916493591171</t>
  </si>
  <si>
    <t>+916558417364</t>
  </si>
  <si>
    <t>+919714493898</t>
  </si>
  <si>
    <t>+919970724821</t>
  </si>
  <si>
    <t>+919943243981</t>
  </si>
  <si>
    <t>+919862768937</t>
  </si>
  <si>
    <t>+919501303598</t>
  </si>
  <si>
    <t>+918517262550</t>
  </si>
  <si>
    <t>+919200905709</t>
  </si>
  <si>
    <t>+918816285920</t>
  </si>
  <si>
    <t>+918573206170</t>
  </si>
  <si>
    <t>+916053123902</t>
  </si>
  <si>
    <t>+916206555538</t>
  </si>
  <si>
    <t>+917313088007</t>
  </si>
  <si>
    <t>+919271205869</t>
  </si>
  <si>
    <t>+919113221245</t>
  </si>
  <si>
    <t>+919623810694</t>
  </si>
  <si>
    <t>+917367884128</t>
  </si>
  <si>
    <t>+917414114674</t>
  </si>
  <si>
    <t>+918502883395</t>
  </si>
  <si>
    <t>+917217148390</t>
  </si>
  <si>
    <t>+916232568273</t>
  </si>
  <si>
    <t>+919838497987</t>
  </si>
  <si>
    <t>+919399905737</t>
  </si>
  <si>
    <t>+918319045939</t>
  </si>
  <si>
    <t>+919082248005</t>
  </si>
  <si>
    <t>+917688316645</t>
  </si>
  <si>
    <t>+917953204224</t>
  </si>
  <si>
    <t>+919991449668</t>
  </si>
  <si>
    <t>+917366428095</t>
  </si>
  <si>
    <t>+918318545606</t>
  </si>
  <si>
    <t>+916218746175</t>
  </si>
  <si>
    <t>+917739384578</t>
  </si>
  <si>
    <t>+919182920259</t>
  </si>
  <si>
    <t>+916722262035</t>
  </si>
  <si>
    <t>+918537195525</t>
  </si>
  <si>
    <t>+918986259549</t>
  </si>
  <si>
    <t>+918967826348</t>
  </si>
  <si>
    <t>+917194371351</t>
  </si>
  <si>
    <t>+916799389627</t>
  </si>
  <si>
    <t>+919964787086</t>
  </si>
  <si>
    <t>+918637330580</t>
  </si>
  <si>
    <t>+916552800463</t>
  </si>
  <si>
    <t>+919141245683</t>
  </si>
  <si>
    <t>+919106293210</t>
  </si>
  <si>
    <t>+919305688011</t>
  </si>
  <si>
    <t>+916122993794</t>
  </si>
  <si>
    <t>+918133330100</t>
  </si>
  <si>
    <t>+916612772666</t>
  </si>
  <si>
    <t>+917974860621</t>
  </si>
  <si>
    <t>+918912153119</t>
  </si>
  <si>
    <t>+916465960338</t>
  </si>
  <si>
    <t>+918923914590</t>
  </si>
  <si>
    <t>+919410595130</t>
  </si>
  <si>
    <t>+919390965303</t>
  </si>
  <si>
    <t>+917164118541</t>
  </si>
  <si>
    <t>+916864317647</t>
  </si>
  <si>
    <t>+919123839745</t>
  </si>
  <si>
    <t>+918242458009</t>
  </si>
  <si>
    <t>+918009195916</t>
  </si>
  <si>
    <t>+918056728497</t>
  </si>
  <si>
    <t>+919534817870</t>
  </si>
  <si>
    <t>+917971968176</t>
  </si>
  <si>
    <t>+919285197015</t>
  </si>
  <si>
    <t>+916386060424</t>
  </si>
  <si>
    <t>+918232972228</t>
  </si>
  <si>
    <t>+916825560968</t>
  </si>
  <si>
    <t>+919928569880</t>
  </si>
  <si>
    <t>+917698265283</t>
  </si>
  <si>
    <t>+917793743632</t>
  </si>
  <si>
    <t>+919655486998</t>
  </si>
  <si>
    <t>+916567496305</t>
  </si>
  <si>
    <t>+916945357350</t>
  </si>
  <si>
    <t>+918125099478</t>
  </si>
  <si>
    <t>+918493546640</t>
  </si>
  <si>
    <t>+916751338094</t>
  </si>
  <si>
    <t>+918149376283</t>
  </si>
  <si>
    <t>+918373063750</t>
  </si>
  <si>
    <t>+918661048328</t>
  </si>
  <si>
    <t>+917748668474</t>
  </si>
  <si>
    <t>+916893079224</t>
  </si>
  <si>
    <t>+918025752825</t>
  </si>
  <si>
    <t>+916368608721</t>
  </si>
  <si>
    <t>+919580151682</t>
  </si>
  <si>
    <t>+918940634672</t>
  </si>
  <si>
    <t>+918941129028</t>
  </si>
  <si>
    <t>+916408427482</t>
  </si>
  <si>
    <t>+919762235439</t>
  </si>
  <si>
    <t>+918717228168</t>
  </si>
  <si>
    <t>+916846021051</t>
  </si>
  <si>
    <t>+918407214884</t>
  </si>
  <si>
    <t>+919592323876</t>
  </si>
  <si>
    <t>+917691554508</t>
  </si>
  <si>
    <t>+919062899784</t>
  </si>
  <si>
    <t>+917070833723</t>
  </si>
  <si>
    <t>+918415607579</t>
  </si>
  <si>
    <t>+918769685413</t>
  </si>
  <si>
    <t>+918396579273</t>
  </si>
  <si>
    <t>+919726683496</t>
  </si>
  <si>
    <t>+918768396448</t>
  </si>
  <si>
    <t>+919981439130</t>
  </si>
  <si>
    <t>+918149526357</t>
  </si>
  <si>
    <t>+917275175268</t>
  </si>
  <si>
    <t>+917305905537</t>
  </si>
  <si>
    <t>+918162834147</t>
  </si>
  <si>
    <t>+918245759516</t>
  </si>
  <si>
    <t>+918785577221</t>
  </si>
  <si>
    <t>+918608592424</t>
  </si>
  <si>
    <t>+917549891904</t>
  </si>
  <si>
    <t>+916958198998</t>
  </si>
  <si>
    <t>+916058866719</t>
  </si>
  <si>
    <t>+916271789258</t>
  </si>
  <si>
    <t>+919534954872</t>
  </si>
  <si>
    <t>+918184301548</t>
  </si>
  <si>
    <t>+918017801030</t>
  </si>
  <si>
    <t>+918477537549</t>
  </si>
  <si>
    <t>+917106435397</t>
  </si>
  <si>
    <t>+919671073598</t>
  </si>
  <si>
    <t>+917296756965</t>
  </si>
  <si>
    <t>+916347264617</t>
  </si>
  <si>
    <t>+918553057782</t>
  </si>
  <si>
    <t>+918908062177</t>
  </si>
  <si>
    <t>+917555237508</t>
  </si>
  <si>
    <t>+919651897906</t>
  </si>
  <si>
    <t>+918705625997</t>
  </si>
  <si>
    <t>+916493187233</t>
  </si>
  <si>
    <t>+916919079589</t>
  </si>
  <si>
    <t>+918308430744</t>
  </si>
  <si>
    <t>+919468610301</t>
  </si>
  <si>
    <t>+916476226300</t>
  </si>
  <si>
    <t>+919730429731</t>
  </si>
  <si>
    <t>+916243862797</t>
  </si>
  <si>
    <t>+919911723731</t>
  </si>
  <si>
    <t>+917264628889</t>
  </si>
  <si>
    <t>+916888993152</t>
  </si>
  <si>
    <t>+917196267711</t>
  </si>
  <si>
    <t>+916050256753</t>
  </si>
  <si>
    <t>+917981530765</t>
  </si>
  <si>
    <t>+917929514134</t>
  </si>
  <si>
    <t>+916824518174</t>
  </si>
  <si>
    <t>+919817652493</t>
  </si>
  <si>
    <t>+916885965649</t>
  </si>
  <si>
    <t>+918103932547</t>
  </si>
  <si>
    <t>+918526645017</t>
  </si>
  <si>
    <t>+916916498957</t>
  </si>
  <si>
    <t>+916244732921</t>
  </si>
  <si>
    <t>+916683343235</t>
  </si>
  <si>
    <t>+916471244568</t>
  </si>
  <si>
    <t>+919635131746</t>
  </si>
  <si>
    <t>+917051287188</t>
  </si>
  <si>
    <t>+917573854655</t>
  </si>
  <si>
    <t>+916449009095</t>
  </si>
  <si>
    <t>+919480753128</t>
  </si>
  <si>
    <t>+917931600204</t>
  </si>
  <si>
    <t>+917331566358</t>
  </si>
  <si>
    <t>+917450267261</t>
  </si>
  <si>
    <t>+918186907786</t>
  </si>
  <si>
    <t>+918966754430</t>
  </si>
  <si>
    <t>+918640410687</t>
  </si>
  <si>
    <t>+919537311966</t>
  </si>
  <si>
    <t>+918565556697</t>
  </si>
  <si>
    <t>+916701476528</t>
  </si>
  <si>
    <t>+917127624165</t>
  </si>
  <si>
    <t>+916300360720</t>
  </si>
  <si>
    <t>+918366772585</t>
  </si>
  <si>
    <t>+916467745287</t>
  </si>
  <si>
    <t>+916631269973</t>
  </si>
  <si>
    <t>+918830547011</t>
  </si>
  <si>
    <t>+919371620067</t>
  </si>
  <si>
    <t>+917349861941</t>
  </si>
  <si>
    <t>+919780427444</t>
  </si>
  <si>
    <t>+918072404859</t>
  </si>
  <si>
    <t>+917805770690</t>
  </si>
  <si>
    <t>+919033368598</t>
  </si>
  <si>
    <t>+917471120568</t>
  </si>
  <si>
    <t>+919855234506</t>
  </si>
  <si>
    <t>+918651279588</t>
  </si>
  <si>
    <t>+917376424020</t>
  </si>
  <si>
    <t>+916271159371</t>
  </si>
  <si>
    <t>+918811167694</t>
  </si>
  <si>
    <t>+916519734892</t>
  </si>
  <si>
    <t>+919984481118</t>
  </si>
  <si>
    <t>+917486736289</t>
  </si>
  <si>
    <t>+919445372443</t>
  </si>
  <si>
    <t>+919029480715</t>
  </si>
  <si>
    <t>+919987472998</t>
  </si>
  <si>
    <t>+919924479639</t>
  </si>
  <si>
    <t>+916535800404</t>
  </si>
  <si>
    <t>+917343286555</t>
  </si>
  <si>
    <t>+917135845186</t>
  </si>
  <si>
    <t>+918159290514</t>
  </si>
  <si>
    <t>+919283791554</t>
  </si>
  <si>
    <t>+917938306166</t>
  </si>
  <si>
    <t>+917226342739</t>
  </si>
  <si>
    <t>+916366869870</t>
  </si>
  <si>
    <t>+918503562212</t>
  </si>
  <si>
    <t>+917626093856</t>
  </si>
  <si>
    <t>+917452058767</t>
  </si>
  <si>
    <t>+919375353923</t>
  </si>
  <si>
    <t>+918091159338</t>
  </si>
  <si>
    <t>+919605732805</t>
  </si>
  <si>
    <t>+918326347494</t>
  </si>
  <si>
    <t>+917197541764</t>
  </si>
  <si>
    <t>+917581306931</t>
  </si>
  <si>
    <t>+916204240745</t>
  </si>
  <si>
    <t>+917700618415</t>
  </si>
  <si>
    <t>+919834099600</t>
  </si>
  <si>
    <t>+918855165186</t>
  </si>
  <si>
    <t>+917473658128</t>
  </si>
  <si>
    <t>+918634469306</t>
  </si>
  <si>
    <t>+918683135170</t>
  </si>
  <si>
    <t>+917108360757</t>
  </si>
  <si>
    <t>+918040480608</t>
  </si>
  <si>
    <t>+916979240274</t>
  </si>
  <si>
    <t>+916811808922</t>
  </si>
  <si>
    <t>+919168449820</t>
  </si>
  <si>
    <t>+918983847683</t>
  </si>
  <si>
    <t>+918913109460</t>
  </si>
  <si>
    <t>+916181059654</t>
  </si>
  <si>
    <t>+916139901053</t>
  </si>
  <si>
    <t>+917481362948</t>
  </si>
  <si>
    <t>+919622337473</t>
  </si>
  <si>
    <t>+916364622558</t>
  </si>
  <si>
    <t>+916511041278</t>
  </si>
  <si>
    <t>+916733843358</t>
  </si>
  <si>
    <t>+916860704535</t>
  </si>
  <si>
    <t>+918688629456</t>
  </si>
  <si>
    <t>+916838174600</t>
  </si>
  <si>
    <t>+916216059540</t>
  </si>
  <si>
    <t>+918541069675</t>
  </si>
  <si>
    <t>+919105589721</t>
  </si>
  <si>
    <t>+916674971320</t>
  </si>
  <si>
    <t>+917585843703</t>
  </si>
  <si>
    <t>+919639081515</t>
  </si>
  <si>
    <t>+919053920904</t>
  </si>
  <si>
    <t>+919352986013</t>
  </si>
  <si>
    <t>+918026310672</t>
  </si>
  <si>
    <t>+917682246736</t>
  </si>
  <si>
    <t>+917094298586</t>
  </si>
  <si>
    <t>+916640425975</t>
  </si>
  <si>
    <t>+917612171027</t>
  </si>
  <si>
    <t>+918752226514</t>
  </si>
  <si>
    <t>+917852080705</t>
  </si>
  <si>
    <t>+916044491008</t>
  </si>
  <si>
    <t>+918254828154</t>
  </si>
  <si>
    <t>+919530405816</t>
  </si>
  <si>
    <t>+916984300466</t>
  </si>
  <si>
    <t>+919177655773</t>
  </si>
  <si>
    <t>+916275812142</t>
  </si>
  <si>
    <t>+917088984799</t>
  </si>
  <si>
    <t>+919931934234</t>
  </si>
  <si>
    <t>+918920843271</t>
  </si>
  <si>
    <t>+916751186279</t>
  </si>
  <si>
    <t>+919286398460</t>
  </si>
  <si>
    <t>+916126422029</t>
  </si>
  <si>
    <t>+919416327496</t>
  </si>
  <si>
    <t>+916182175707</t>
  </si>
  <si>
    <t>+918996221768</t>
  </si>
  <si>
    <t>+919009930553</t>
  </si>
  <si>
    <t>+917223232221</t>
  </si>
  <si>
    <t>+918351951404</t>
  </si>
  <si>
    <t>+917609833528</t>
  </si>
  <si>
    <t>+917170291682</t>
  </si>
  <si>
    <t>+918200626793</t>
  </si>
  <si>
    <t>+919706866703</t>
  </si>
  <si>
    <t>+917593560068</t>
  </si>
  <si>
    <t>Product_ID</t>
  </si>
  <si>
    <t>Product_Name</t>
  </si>
  <si>
    <t>Category</t>
  </si>
  <si>
    <t>Price</t>
  </si>
  <si>
    <t>Sweets Box</t>
  </si>
  <si>
    <t>Sweets &amp; Gifts</t>
  </si>
  <si>
    <t>Saree</t>
  </si>
  <si>
    <t>Clothing</t>
  </si>
  <si>
    <t>Kurta</t>
  </si>
  <si>
    <t>Smartphone</t>
  </si>
  <si>
    <t>Electronics</t>
  </si>
  <si>
    <t>LED Lamp</t>
  </si>
  <si>
    <t>Home Decor</t>
  </si>
  <si>
    <t>Crackers Pack</t>
  </si>
  <si>
    <t>Crackers</t>
  </si>
  <si>
    <t>Gift Hamper</t>
  </si>
  <si>
    <t>Earthen Diyas</t>
  </si>
  <si>
    <t>Bluetooth Speaker</t>
  </si>
  <si>
    <t>Chocolate Box</t>
  </si>
  <si>
    <t>Festive Thali</t>
  </si>
  <si>
    <t>Other</t>
  </si>
  <si>
    <t>Wall Hanging</t>
  </si>
  <si>
    <t>Silver Coin</t>
  </si>
  <si>
    <t>Precious Items</t>
  </si>
  <si>
    <t>Gold Coin</t>
  </si>
  <si>
    <t>Candle Set</t>
  </si>
  <si>
    <t>Fairy Lights</t>
  </si>
  <si>
    <t>Handmade Pottery</t>
  </si>
  <si>
    <t>Dry Fruits Pack</t>
  </si>
  <si>
    <t>Designer Kurti</t>
  </si>
  <si>
    <t>Ethnic Jewelry</t>
  </si>
  <si>
    <t>Smartwatch</t>
  </si>
  <si>
    <t>Home Decor Statue</t>
  </si>
  <si>
    <t>Kids Wear</t>
  </si>
  <si>
    <t>Perfume Gift Set</t>
  </si>
  <si>
    <t>Accessories</t>
  </si>
  <si>
    <t>Handbag</t>
  </si>
  <si>
    <t>Store_ID</t>
  </si>
  <si>
    <t>Store_Name</t>
  </si>
  <si>
    <t>Store_1</t>
  </si>
  <si>
    <t>Store_2</t>
  </si>
  <si>
    <t>Store_3</t>
  </si>
  <si>
    <t>Ahmedabad</t>
  </si>
  <si>
    <t>Uttar Pradesh</t>
  </si>
  <si>
    <t>Store_4</t>
  </si>
  <si>
    <t>Store_5</t>
  </si>
  <si>
    <t>Store_6</t>
  </si>
  <si>
    <t>Store_7</t>
  </si>
  <si>
    <t>Gujarat</t>
  </si>
  <si>
    <t>Store_8</t>
  </si>
  <si>
    <t>Store_9</t>
  </si>
  <si>
    <t>Jaipur</t>
  </si>
  <si>
    <t>Store_10</t>
  </si>
  <si>
    <t>Rajasthan</t>
  </si>
  <si>
    <t>Store_11</t>
  </si>
  <si>
    <t>Store_12</t>
  </si>
  <si>
    <t>Store_13</t>
  </si>
  <si>
    <t>Store_14</t>
  </si>
  <si>
    <t>Lucknow</t>
  </si>
  <si>
    <t>Store_15</t>
  </si>
  <si>
    <t>Store_16</t>
  </si>
  <si>
    <t>Store_17</t>
  </si>
  <si>
    <t>Store_18</t>
  </si>
  <si>
    <t>Store_19</t>
  </si>
  <si>
    <t>Store_20</t>
  </si>
  <si>
    <t>Store_21</t>
  </si>
  <si>
    <t>Store_22</t>
  </si>
  <si>
    <t>Store_23</t>
  </si>
  <si>
    <t>Store_24</t>
  </si>
  <si>
    <t>Store_25</t>
  </si>
  <si>
    <t>Store_26</t>
  </si>
  <si>
    <t>Store_27</t>
  </si>
  <si>
    <t>Store_28</t>
  </si>
  <si>
    <t>Store_29</t>
  </si>
  <si>
    <t>Store_30</t>
  </si>
  <si>
    <t>Store_31</t>
  </si>
  <si>
    <t>Store_32</t>
  </si>
  <si>
    <t>Store_33</t>
  </si>
  <si>
    <t>Store_34</t>
  </si>
  <si>
    <t>Store_35</t>
  </si>
  <si>
    <t>Sale_ID</t>
  </si>
  <si>
    <t>Quantity</t>
  </si>
  <si>
    <t>Discount</t>
  </si>
  <si>
    <t>Sale_Date</t>
  </si>
  <si>
    <t>Total_Amount</t>
  </si>
  <si>
    <t>Michael Mitchell</t>
  </si>
  <si>
    <t>Scott Chen</t>
  </si>
  <si>
    <t>Amanda Miller</t>
  </si>
  <si>
    <t>Holly Hopkins</t>
  </si>
  <si>
    <t>Nathan Porter</t>
  </si>
  <si>
    <t>Melissa Peterson</t>
  </si>
  <si>
    <t>Daniel Quinn</t>
  </si>
  <si>
    <t>Elizabeth Woods</t>
  </si>
  <si>
    <t>Kayla Long</t>
  </si>
  <si>
    <t>Maria Lewis</t>
  </si>
  <si>
    <t>Lindsey West</t>
  </si>
  <si>
    <t>John Dunlap</t>
  </si>
  <si>
    <t>Tara Richardson</t>
  </si>
  <si>
    <t>Gregory Maddox</t>
  </si>
  <si>
    <t>Jennifer Moore</t>
  </si>
  <si>
    <t>Ashley Wright</t>
  </si>
  <si>
    <t>Sandra Hamilton</t>
  </si>
  <si>
    <t>Mariah Kim</t>
  </si>
  <si>
    <t>Brenda Dunn</t>
  </si>
  <si>
    <t>Mallory Jackson</t>
  </si>
  <si>
    <t>Margaret Harris</t>
  </si>
  <si>
    <t>Juan Foster</t>
  </si>
  <si>
    <t>Daniel Williams</t>
  </si>
  <si>
    <t>Bradley Thompson</t>
  </si>
  <si>
    <t>Susan Wheeler</t>
  </si>
  <si>
    <t>Joshua Clark</t>
  </si>
  <si>
    <t>Bianca Campbell</t>
  </si>
  <si>
    <t>Sandra Parker</t>
  </si>
  <si>
    <t>Leonard Smith</t>
  </si>
  <si>
    <t>Andrea Hines</t>
  </si>
  <si>
    <t>William Smith</t>
  </si>
  <si>
    <t>Robert Williams</t>
  </si>
  <si>
    <t>Maria Holt</t>
  </si>
  <si>
    <t>Pamela Watson</t>
  </si>
  <si>
    <t>Debra Robinson</t>
  </si>
  <si>
    <t>Rebecca Harris</t>
  </si>
  <si>
    <t>Donald Wells</t>
  </si>
  <si>
    <t>Eric Escobar</t>
  </si>
  <si>
    <t>Carol Allen</t>
  </si>
  <si>
    <t>Jamie Ortiz</t>
  </si>
  <si>
    <t>Vincent Hale</t>
  </si>
  <si>
    <t>Robert Hall</t>
  </si>
  <si>
    <t>Brenda Foster</t>
  </si>
  <si>
    <t>Deborah Dorsey</t>
  </si>
  <si>
    <t>Melanie Santana</t>
  </si>
  <si>
    <t>Leslie Little</t>
  </si>
  <si>
    <t>Lynn Henderson</t>
  </si>
  <si>
    <t>James Callahan</t>
  </si>
  <si>
    <t>Richard Nicholson</t>
  </si>
  <si>
    <t>Ronald Gonzalez</t>
  </si>
  <si>
    <t>Jason Scott</t>
  </si>
  <si>
    <t>Kristin Ayers</t>
  </si>
  <si>
    <t>Brandon Martin</t>
  </si>
  <si>
    <t>William Hamilton</t>
  </si>
  <si>
    <t>Tina Armstrong</t>
  </si>
  <si>
    <t>Katie King</t>
  </si>
  <si>
    <t>John Lopez</t>
  </si>
  <si>
    <t>Jo Roberson</t>
  </si>
  <si>
    <t>Cynthia Johnson</t>
  </si>
  <si>
    <t>Kayla Aguilar</t>
  </si>
  <si>
    <t>Alexander Gonzalez</t>
  </si>
  <si>
    <t>William Murphy</t>
  </si>
  <si>
    <t>Michael Williams</t>
  </si>
  <si>
    <t>Brianna Taylor</t>
  </si>
  <si>
    <t>Carrie Hammond</t>
  </si>
  <si>
    <t>Susan Green</t>
  </si>
  <si>
    <t>Carrie Landry</t>
  </si>
  <si>
    <t>Tiffany Brown</t>
  </si>
  <si>
    <t>Calvin Wright</t>
  </si>
  <si>
    <t>Pamela Anderson</t>
  </si>
  <si>
    <t>Jennifer Martin</t>
  </si>
  <si>
    <t>Michael Torres</t>
  </si>
  <si>
    <t>Martha Cooper</t>
  </si>
  <si>
    <t>Kimberly Walker</t>
  </si>
  <si>
    <t>Alexa Potts</t>
  </si>
  <si>
    <t>Daniel Simon</t>
  </si>
  <si>
    <t>Carlos Hester</t>
  </si>
  <si>
    <t>Jerry Newman</t>
  </si>
  <si>
    <t>Anthony Myers</t>
  </si>
  <si>
    <t>Colleen Underwood</t>
  </si>
  <si>
    <t>Lori Cox</t>
  </si>
  <si>
    <t>Sharon Phillips</t>
  </si>
  <si>
    <t>James Barrera</t>
  </si>
  <si>
    <t>Sharon Baker</t>
  </si>
  <si>
    <t>Amanda Nichols</t>
  </si>
  <si>
    <t>Michael Henderson</t>
  </si>
  <si>
    <t>Jared Romero</t>
  </si>
  <si>
    <t>Mark Mitchell</t>
  </si>
  <si>
    <t>Luis Smith</t>
  </si>
  <si>
    <t>Colleen Aguilar</t>
  </si>
  <si>
    <t>Brandy Martinez</t>
  </si>
  <si>
    <t>Joseph Thomas</t>
  </si>
  <si>
    <t>John Martin</t>
  </si>
  <si>
    <t>Amanda Craig</t>
  </si>
  <si>
    <t>Edward Johnson</t>
  </si>
  <si>
    <t>Morgan Webb</t>
  </si>
  <si>
    <t>Michelle Lowe</t>
  </si>
  <si>
    <t>Jennifer Taylor</t>
  </si>
  <si>
    <t>Paul Chan</t>
  </si>
  <si>
    <t>Michael Escobar</t>
  </si>
  <si>
    <t>Ronald Wright</t>
  </si>
  <si>
    <t>Derrick Matthews</t>
  </si>
  <si>
    <t>Glenn Cook</t>
  </si>
  <si>
    <t>Gabriel Mcdonald</t>
  </si>
  <si>
    <t>Randall Odonnell</t>
  </si>
  <si>
    <t>Suzanne Green</t>
  </si>
  <si>
    <t>Crystal Wilson</t>
  </si>
  <si>
    <t>Briana Jordan</t>
  </si>
  <si>
    <t>Benjamin Blackwell</t>
  </si>
  <si>
    <t>Michelle Hardin</t>
  </si>
  <si>
    <t>Steven Jones</t>
  </si>
  <si>
    <t>Ashley Lane</t>
  </si>
  <si>
    <t>Tyler Lozano</t>
  </si>
  <si>
    <t>Louis Lee</t>
  </si>
  <si>
    <t>Valerie Winters</t>
  </si>
  <si>
    <t>Connie Rogers</t>
  </si>
  <si>
    <t>Matthew Nielsen</t>
  </si>
  <si>
    <t>Jillian Khan</t>
  </si>
  <si>
    <t>Javier Calderon</t>
  </si>
  <si>
    <t>Tracey Gibson</t>
  </si>
  <si>
    <t>Vincent Fuller</t>
  </si>
  <si>
    <t>Tammy Dean</t>
  </si>
  <si>
    <t>Luis Long</t>
  </si>
  <si>
    <t>Terrence Johnson</t>
  </si>
  <si>
    <t>Ashley Hernandez</t>
  </si>
  <si>
    <t>Michael Dawson</t>
  </si>
  <si>
    <t>Tom Irwin</t>
  </si>
  <si>
    <t>Thomas Pennington</t>
  </si>
  <si>
    <t>Christopher Wagner</t>
  </si>
  <si>
    <t>Nicole Wilson</t>
  </si>
  <si>
    <t>Michael Fletcher</t>
  </si>
  <si>
    <t>Victor Rojas</t>
  </si>
  <si>
    <t>Timothy Hunt</t>
  </si>
  <si>
    <t>Bobby Neal</t>
  </si>
  <si>
    <t>Curtis Gonzales</t>
  </si>
  <si>
    <t>Brooke Oliver</t>
  </si>
  <si>
    <t>Karen Perez</t>
  </si>
  <si>
    <t>Timothy Wells</t>
  </si>
  <si>
    <t>Jeremy Barnes</t>
  </si>
  <si>
    <t>Alex Brown</t>
  </si>
  <si>
    <t>Pamela Smith</t>
  </si>
  <si>
    <t>Derek Coffey</t>
  </si>
  <si>
    <t>Corey Kidd</t>
  </si>
  <si>
    <t>Amanda Henry</t>
  </si>
  <si>
    <t>Valerie Love</t>
  </si>
  <si>
    <t>Angela Martin</t>
  </si>
  <si>
    <t>Edward Greene</t>
  </si>
  <si>
    <t>Kathryn Le</t>
  </si>
  <si>
    <t>Christopher Higgins</t>
  </si>
  <si>
    <t>Angelica Davis</t>
  </si>
  <si>
    <t>Cynthia Simpson</t>
  </si>
  <si>
    <t>Randy Harrell</t>
  </si>
  <si>
    <t>Stephanie Miller</t>
  </si>
  <si>
    <t>Kristin Davis</t>
  </si>
  <si>
    <t>Tina Underwood</t>
  </si>
  <si>
    <t>Matthew Frazier</t>
  </si>
  <si>
    <t>John West</t>
  </si>
  <si>
    <t>David Smith</t>
  </si>
  <si>
    <t>Adam Morris</t>
  </si>
  <si>
    <t>Christian Aguilar</t>
  </si>
  <si>
    <t>Jamie Jarvis</t>
  </si>
  <si>
    <t>Amy Hernandez</t>
  </si>
  <si>
    <t>Craig Washington</t>
  </si>
  <si>
    <t>Amanda Carter</t>
  </si>
  <si>
    <t>Susan Mooney</t>
  </si>
  <si>
    <t>Tracy Hernandez</t>
  </si>
  <si>
    <t>John Daniels</t>
  </si>
  <si>
    <t>Antonio Mora</t>
  </si>
  <si>
    <t>Gerald Sanders</t>
  </si>
  <si>
    <t>Brandon Graves</t>
  </si>
  <si>
    <t>Angela Rivera</t>
  </si>
  <si>
    <t>Emily Martin</t>
  </si>
  <si>
    <t>Eric West</t>
  </si>
  <si>
    <t>Jeffrey Smith</t>
  </si>
  <si>
    <t>Brent Smith</t>
  </si>
  <si>
    <t>Elizabeth Bryant</t>
  </si>
  <si>
    <t>Kathleen Fox</t>
  </si>
  <si>
    <t>Gerald Travis</t>
  </si>
  <si>
    <t>Amber Valdez</t>
  </si>
  <si>
    <t>Joseph Browning</t>
  </si>
  <si>
    <t>Benjamin Sanchez</t>
  </si>
  <si>
    <t>Walter Griffin</t>
  </si>
  <si>
    <t>Scott Short</t>
  </si>
  <si>
    <t>Patrick Osborn</t>
  </si>
  <si>
    <t>Molly Hansen</t>
  </si>
  <si>
    <t>Steven Sosa</t>
  </si>
  <si>
    <t>Timothy Graham</t>
  </si>
  <si>
    <t>Kaitlyn Hickman</t>
  </si>
  <si>
    <t>Mark Stanton</t>
  </si>
  <si>
    <t>Rebekah Caldwell</t>
  </si>
  <si>
    <t>Jennifer Gonzalez</t>
  </si>
  <si>
    <t>Margaret Schwartz</t>
  </si>
  <si>
    <t>Danielle Davis</t>
  </si>
  <si>
    <t>Brianna Robertson</t>
  </si>
  <si>
    <t>Cynthia Martin</t>
  </si>
  <si>
    <t>Daniel Price</t>
  </si>
  <si>
    <t>Eric Lopez</t>
  </si>
  <si>
    <t>Sheila Warner</t>
  </si>
  <si>
    <t>Brian Campbell</t>
  </si>
  <si>
    <t>Chelsea Wade</t>
  </si>
  <si>
    <t>Bonnie Moreno</t>
  </si>
  <si>
    <t>Jennifer Johnston</t>
  </si>
  <si>
    <t>William Freeman</t>
  </si>
  <si>
    <t>Judy Gilbert</t>
  </si>
  <si>
    <t>Cynthia Martinez</t>
  </si>
  <si>
    <t>Jeffrey Curtis</t>
  </si>
  <si>
    <t>Kelly Lee</t>
  </si>
  <si>
    <t>Emily Rodriguez</t>
  </si>
  <si>
    <t>Laura Wong</t>
  </si>
  <si>
    <t>Deanna Barnes</t>
  </si>
  <si>
    <t>Ashley Green</t>
  </si>
  <si>
    <t>Michael Compton</t>
  </si>
  <si>
    <t>Andrea Strickland</t>
  </si>
  <si>
    <t>Brent Murphy</t>
  </si>
  <si>
    <t>Michelle Greer</t>
  </si>
  <si>
    <t>Lisa Kelly</t>
  </si>
  <si>
    <t>Robert Baker</t>
  </si>
  <si>
    <t>Christopher Osborne</t>
  </si>
  <si>
    <t>Desiree Reed</t>
  </si>
  <si>
    <t>Elizabeth Garcia</t>
  </si>
  <si>
    <t>Frank Johnson</t>
  </si>
  <si>
    <t>Barry Wilson</t>
  </si>
  <si>
    <t>Joseph Garrett</t>
  </si>
  <si>
    <t>Robert Perez</t>
  </si>
  <si>
    <t>Joshua Anderson</t>
  </si>
  <si>
    <t>Stephanie Campbell</t>
  </si>
  <si>
    <t>Ian Kemp</t>
  </si>
  <si>
    <t>Susan Barry</t>
  </si>
  <si>
    <t>Russell Gray</t>
  </si>
  <si>
    <t>William Campbell</t>
  </si>
  <si>
    <t>Joshua Craig</t>
  </si>
  <si>
    <t>Matthew Jennings</t>
  </si>
  <si>
    <t>Kaitlyn Collier</t>
  </si>
  <si>
    <t>Shawn Rodriguez</t>
  </si>
  <si>
    <t>Kimberly Clay</t>
  </si>
  <si>
    <t>Oscar Diaz</t>
  </si>
  <si>
    <t>Steven Hogan</t>
  </si>
  <si>
    <t>Robert Burton</t>
  </si>
  <si>
    <t>Sally Stewart</t>
  </si>
  <si>
    <t>Juan Romero</t>
  </si>
  <si>
    <t>Julie Gonzalez</t>
  </si>
  <si>
    <t>Brittany Mills</t>
  </si>
  <si>
    <t>Leonard Kim</t>
  </si>
  <si>
    <t>Donna Wheeler</t>
  </si>
  <si>
    <t>Casey Bailey</t>
  </si>
  <si>
    <t>Karen Anderson</t>
  </si>
  <si>
    <t>Robert Keller</t>
  </si>
  <si>
    <t>Joshua Wilson</t>
  </si>
  <si>
    <t>Zachary Browning</t>
  </si>
  <si>
    <t>Sheryl Henderson</t>
  </si>
  <si>
    <t>Javier Lewis</t>
  </si>
  <si>
    <t>Matthew Smith</t>
  </si>
  <si>
    <t>Sarah Day</t>
  </si>
  <si>
    <t>Kevin Luna</t>
  </si>
  <si>
    <t>Eric Terry</t>
  </si>
  <si>
    <t>Corey Lewis</t>
  </si>
  <si>
    <t>Joshua Mccormick</t>
  </si>
  <si>
    <t>Scott Wheeler</t>
  </si>
  <si>
    <t>Jordan Smith</t>
  </si>
  <si>
    <t>Stephanie King</t>
  </si>
  <si>
    <t>Cynthia Chen</t>
  </si>
  <si>
    <t>Kim Mckinney</t>
  </si>
  <si>
    <t>Sharon Cannon</t>
  </si>
  <si>
    <t>Anita Thompson</t>
  </si>
  <si>
    <t>Anne Harris</t>
  </si>
  <si>
    <t>Keith Diaz</t>
  </si>
  <si>
    <t>Alicia Bailey</t>
  </si>
  <si>
    <t>John Miller</t>
  </si>
  <si>
    <t>Anthony Mayer</t>
  </si>
  <si>
    <t>Gregory Nichols</t>
  </si>
  <si>
    <t>George Newton</t>
  </si>
  <si>
    <t>Miss Tammy Cooper</t>
  </si>
  <si>
    <t>Christopher Jackson</t>
  </si>
  <si>
    <t>Jessica Coleman</t>
  </si>
  <si>
    <t>Erin Mann</t>
  </si>
  <si>
    <t>Jesse Jones</t>
  </si>
  <si>
    <t>Kristen Richards</t>
  </si>
  <si>
    <t>Brett Sanchez</t>
  </si>
  <si>
    <t>Gregory Richardson</t>
  </si>
  <si>
    <t>Mary Glover</t>
  </si>
  <si>
    <t>Deborah Hill</t>
  </si>
  <si>
    <t>Anthony Taylor</t>
  </si>
  <si>
    <t>David White</t>
  </si>
  <si>
    <t>Heather Holland</t>
  </si>
  <si>
    <t>Jose Beck</t>
  </si>
  <si>
    <t>James Mclean</t>
  </si>
  <si>
    <t>Mr. Robert Lee</t>
  </si>
  <si>
    <t>Angela Bass</t>
  </si>
  <si>
    <t>Debbie Rocha</t>
  </si>
  <si>
    <t>Nathaniel Beck</t>
  </si>
  <si>
    <t>Alicia Wallace</t>
  </si>
  <si>
    <t>Robert Lee</t>
  </si>
  <si>
    <t>Samantha Mendoza</t>
  </si>
  <si>
    <t>Kim Smith</t>
  </si>
  <si>
    <t>Alison Collins</t>
  </si>
  <si>
    <t>Shelly Marsh</t>
  </si>
  <si>
    <t>michael@gmail.com</t>
  </si>
  <si>
    <t>melissa@gmail.com</t>
  </si>
  <si>
    <t>elizabe@gmail.com</t>
  </si>
  <si>
    <t>lindsey@gmail.com</t>
  </si>
  <si>
    <t>gregory@gmail.com</t>
  </si>
  <si>
    <t>jennife@gmail.com</t>
  </si>
  <si>
    <t>mallory@gmail.com</t>
  </si>
  <si>
    <t>margare@gmail.com</t>
  </si>
  <si>
    <t>bradley@gmail.com</t>
  </si>
  <si>
    <t>leonard@gmail.com</t>
  </si>
  <si>
    <t>william@gmail.com</t>
  </si>
  <si>
    <t>rebecca@gmail.com</t>
  </si>
  <si>
    <t>vincent@gmail.com</t>
  </si>
  <si>
    <t>deborah@gmail.com</t>
  </si>
  <si>
    <t>melanie@gmail.com</t>
  </si>
  <si>
    <t>richard@gmail.com</t>
  </si>
  <si>
    <t>kristin@gmail.com</t>
  </si>
  <si>
    <t>brandon@gmail.com</t>
  </si>
  <si>
    <t>cynthia@gmail.com</t>
  </si>
  <si>
    <t>alexand@gmail.com</t>
  </si>
  <si>
    <t>brianna@gmail.com</t>
  </si>
  <si>
    <t>tiffany@gmail.com</t>
  </si>
  <si>
    <t>kimberl@gmail.com</t>
  </si>
  <si>
    <t>anthony@gmail.com</t>
  </si>
  <si>
    <t>colleen@gmail.com</t>
  </si>
  <si>
    <t>michell@gmail.com</t>
  </si>
  <si>
    <t>derrick@gmail.com</t>
  </si>
  <si>
    <t>gabriel@gmail.com</t>
  </si>
  <si>
    <t>randall@gmail.com</t>
  </si>
  <si>
    <t>suzanne@gmail.com</t>
  </si>
  <si>
    <t>crystal@gmail.com</t>
  </si>
  <si>
    <t>benjami@gmail.com</t>
  </si>
  <si>
    <t>valerie@gmail.com</t>
  </si>
  <si>
    <t>matthew@gmail.com</t>
  </si>
  <si>
    <t>jillian@gmail.com</t>
  </si>
  <si>
    <t>terrenc@gmail.com</t>
  </si>
  <si>
    <t>christo@gmail.com</t>
  </si>
  <si>
    <t>timothy@gmail.com</t>
  </si>
  <si>
    <t>kathryn@gmail.com</t>
  </si>
  <si>
    <t>angelic@gmail.com</t>
  </si>
  <si>
    <t>stephan@gmail.com</t>
  </si>
  <si>
    <t>christi@gmail.com</t>
  </si>
  <si>
    <t>antonio@gmail.com</t>
  </si>
  <si>
    <t>jeffrey@gmail.com</t>
  </si>
  <si>
    <t>kathlee@gmail.com</t>
  </si>
  <si>
    <t>patrick@gmail.com</t>
  </si>
  <si>
    <t>kaitlyn@gmail.com</t>
  </si>
  <si>
    <t>rebekah@gmail.com</t>
  </si>
  <si>
    <t>daniell@gmail.com</t>
  </si>
  <si>
    <t>chelsea@gmail.com</t>
  </si>
  <si>
    <t>desiree@gmail.com</t>
  </si>
  <si>
    <t>russell@gmail.com</t>
  </si>
  <si>
    <t>brittan@gmail.com</t>
  </si>
  <si>
    <t>zachary@gmail.com</t>
  </si>
  <si>
    <t>ricardo@gmail.com</t>
  </si>
  <si>
    <t>jessica@gmail.com</t>
  </si>
  <si>
    <t>kristen@gmail.com</t>
  </si>
  <si>
    <t>heather@gmail.com</t>
  </si>
  <si>
    <t>nathani@gmail.com</t>
  </si>
  <si>
    <t>samanth@gmail.com</t>
  </si>
  <si>
    <t>scottc@gmail.com</t>
  </si>
  <si>
    <t>amanda@gmail.com</t>
  </si>
  <si>
    <t>hollyh@gmail.com</t>
  </si>
  <si>
    <t>nathan@gmail.com</t>
  </si>
  <si>
    <t>daniel@gmail.com</t>
  </si>
  <si>
    <t>kaylal@gmail.com</t>
  </si>
  <si>
    <t>marial@gmail.com</t>
  </si>
  <si>
    <t>johndu@gmail.com</t>
  </si>
  <si>
    <t>tarari@gmail.com</t>
  </si>
  <si>
    <t>ashley@gmail.com</t>
  </si>
  <si>
    <t>sandra@gmail.com</t>
  </si>
  <si>
    <t>mariah@gmail.com</t>
  </si>
  <si>
    <t>brenda@gmail.com</t>
  </si>
  <si>
    <t>juanfo@gmail.com</t>
  </si>
  <si>
    <t>susanw@gmail.com</t>
  </si>
  <si>
    <t>joshua@gmail.com</t>
  </si>
  <si>
    <t>bianca@gmail.com</t>
  </si>
  <si>
    <t>andrea@gmail.com</t>
  </si>
  <si>
    <t>robert@gmail.com</t>
  </si>
  <si>
    <t>pamela@gmail.com</t>
  </si>
  <si>
    <t>debrar@gmail.com</t>
  </si>
  <si>
    <t>donald@gmail.com</t>
  </si>
  <si>
    <t>erices@gmail.com</t>
  </si>
  <si>
    <t>carola@gmail.com</t>
  </si>
  <si>
    <t>jamieo@gmail.com</t>
  </si>
  <si>
    <t>leslie@gmail.com</t>
  </si>
  <si>
    <t>lynnhe@gmail.com</t>
  </si>
  <si>
    <t>jamesc@gmail.com</t>
  </si>
  <si>
    <t>ronald@gmail.com</t>
  </si>
  <si>
    <t>jasons@gmail.com</t>
  </si>
  <si>
    <t>tinaar@gmail.com</t>
  </si>
  <si>
    <t>katiek@gmail.com</t>
  </si>
  <si>
    <t>johnlo@gmail.com</t>
  </si>
  <si>
    <t>jorobe@gmail.com</t>
  </si>
  <si>
    <t>kaylaa@gmail.com</t>
  </si>
  <si>
    <t>carrie@gmail.com</t>
  </si>
  <si>
    <t>susang@gmail.com</t>
  </si>
  <si>
    <t>calvin@gmail.com</t>
  </si>
  <si>
    <t>martha@gmail.com</t>
  </si>
  <si>
    <t>alexap@gmail.com</t>
  </si>
  <si>
    <t>carlos@gmail.com</t>
  </si>
  <si>
    <t>jerryn@gmail.com</t>
  </si>
  <si>
    <t>lorico@gmail.com</t>
  </si>
  <si>
    <t>sharon@gmail.com</t>
  </si>
  <si>
    <t>jamesb@gmail.com</t>
  </si>
  <si>
    <t>jaredr@gmail.com</t>
  </si>
  <si>
    <t>markmi@gmail.com</t>
  </si>
  <si>
    <t>luissm@gmail.com</t>
  </si>
  <si>
    <t>brandy@gmail.com</t>
  </si>
  <si>
    <t>joseph@gmail.com</t>
  </si>
  <si>
    <t>johnma@gmail.com</t>
  </si>
  <si>
    <t>edward@gmail.com</t>
  </si>
  <si>
    <t>morgan@gmail.com</t>
  </si>
  <si>
    <t>paulch@gmail.com</t>
  </si>
  <si>
    <t>glennc@gmail.com</t>
  </si>
  <si>
    <t>briana@gmail.com</t>
  </si>
  <si>
    <t>steven@gmail.com</t>
  </si>
  <si>
    <t>tylerl@gmail.com</t>
  </si>
  <si>
    <t>louisl@gmail.com</t>
  </si>
  <si>
    <t>connie@gmail.com</t>
  </si>
  <si>
    <t>javier@gmail.com</t>
  </si>
  <si>
    <t>tracey@gmail.com</t>
  </si>
  <si>
    <t>tammyd@gmail.com</t>
  </si>
  <si>
    <t>luislo@gmail.com</t>
  </si>
  <si>
    <t>tomirw@gmail.com</t>
  </si>
  <si>
    <t>thomas@gmail.com</t>
  </si>
  <si>
    <t>nicole@gmail.com</t>
  </si>
  <si>
    <t>victor@gmail.com</t>
  </si>
  <si>
    <t>bobbyn@gmail.com</t>
  </si>
  <si>
    <t>curtis@gmail.com</t>
  </si>
  <si>
    <t>brooke@gmail.com</t>
  </si>
  <si>
    <t>karenp@gmail.com</t>
  </si>
  <si>
    <t>jeremy@gmail.com</t>
  </si>
  <si>
    <t>alexbr@gmail.com</t>
  </si>
  <si>
    <t>derekc@gmail.com</t>
  </si>
  <si>
    <t>coreyk@gmail.com</t>
  </si>
  <si>
    <t>angela@gmail.com</t>
  </si>
  <si>
    <t>randyh@gmail.com</t>
  </si>
  <si>
    <t>tinaun@gmail.com</t>
  </si>
  <si>
    <t>johnwe@gmail.com</t>
  </si>
  <si>
    <t>davids@gmail.com</t>
  </si>
  <si>
    <t>adammo@gmail.com</t>
  </si>
  <si>
    <t>jamiej@gmail.com</t>
  </si>
  <si>
    <t>amyher@gmail.com</t>
  </si>
  <si>
    <t>craigw@gmail.com</t>
  </si>
  <si>
    <t>susanm@gmail.com</t>
  </si>
  <si>
    <t>tracyh@gmail.com</t>
  </si>
  <si>
    <t>johnda@gmail.com</t>
  </si>
  <si>
    <t>gerald@gmail.com</t>
  </si>
  <si>
    <t>emilym@gmail.com</t>
  </si>
  <si>
    <t>ericwe@gmail.com</t>
  </si>
  <si>
    <t>brents@gmail.com</t>
  </si>
  <si>
    <t>amberv@gmail.com</t>
  </si>
  <si>
    <t>walter@gmail.com</t>
  </si>
  <si>
    <t>scotts@gmail.com</t>
  </si>
  <si>
    <t>mollyh@gmail.com</t>
  </si>
  <si>
    <t>markst@gmail.com</t>
  </si>
  <si>
    <t>ericlo@gmail.com</t>
  </si>
  <si>
    <t>sheila@gmail.com</t>
  </si>
  <si>
    <t>brianc@gmail.com</t>
  </si>
  <si>
    <t>bonnie@gmail.com</t>
  </si>
  <si>
    <t>judygi@gmail.com</t>
  </si>
  <si>
    <t>kellyl@gmail.com</t>
  </si>
  <si>
    <t>emilyr@gmail.com</t>
  </si>
  <si>
    <t>lauraw@gmail.com</t>
  </si>
  <si>
    <t>deanna@gmail.com</t>
  </si>
  <si>
    <t>brentm@gmail.com</t>
  </si>
  <si>
    <t>lisake@gmail.com</t>
  </si>
  <si>
    <t>frankj@gmail.com</t>
  </si>
  <si>
    <t>barryw@gmail.com</t>
  </si>
  <si>
    <t>iankem@gmail.com</t>
  </si>
  <si>
    <t>susanb@gmail.com</t>
  </si>
  <si>
    <t>shawnr@gmail.com</t>
  </si>
  <si>
    <t>oscard@gmail.com</t>
  </si>
  <si>
    <t>sallys@gmail.com</t>
  </si>
  <si>
    <t>juanro@gmail.com</t>
  </si>
  <si>
    <t>julieg@gmail.com</t>
  </si>
  <si>
    <t>donnaw@gmail.com</t>
  </si>
  <si>
    <t>caseyb@gmail.com</t>
  </si>
  <si>
    <t>tylerm@gmail.com</t>
  </si>
  <si>
    <t>karena@gmail.com</t>
  </si>
  <si>
    <t>sheryl@gmail.com</t>
  </si>
  <si>
    <t>sarahd@gmail.com</t>
  </si>
  <si>
    <t>kevinl@gmail.com</t>
  </si>
  <si>
    <t>ericte@gmail.com</t>
  </si>
  <si>
    <t>coreyl@gmail.com</t>
  </si>
  <si>
    <t>scottw@gmail.com</t>
  </si>
  <si>
    <t>annnel@gmail.com</t>
  </si>
  <si>
    <t>jordan@gmail.com</t>
  </si>
  <si>
    <t>kimmck@gmail.com</t>
  </si>
  <si>
    <t>anitat@gmail.com</t>
  </si>
  <si>
    <t>anneha@gmail.com</t>
  </si>
  <si>
    <t>keithd@gmail.com</t>
  </si>
  <si>
    <t>alicia@gmail.com</t>
  </si>
  <si>
    <t>johnmi@gmail.com</t>
  </si>
  <si>
    <t>george@gmail.com</t>
  </si>
  <si>
    <t>missta@gmail.com</t>
  </si>
  <si>
    <t>erinma@gmail.com</t>
  </si>
  <si>
    <t>jessej@gmail.com</t>
  </si>
  <si>
    <t>bretts@gmail.com</t>
  </si>
  <si>
    <t>marygl@gmail.com</t>
  </si>
  <si>
    <t>davidw@gmail.com</t>
  </si>
  <si>
    <t>josebe@gmail.com</t>
  </si>
  <si>
    <t>jamesm@gmail.com</t>
  </si>
  <si>
    <t>mr.rob@gmail.com</t>
  </si>
  <si>
    <t>debbie@gmail.com</t>
  </si>
  <si>
    <t>kimsmi@gmail.com</t>
  </si>
  <si>
    <t>alison@gmail.com</t>
  </si>
  <si>
    <t>shelly@gmail.com</t>
  </si>
  <si>
    <t>Tyler Melendez Dvm</t>
  </si>
  <si>
    <t>Ann Nelson Md</t>
  </si>
  <si>
    <t>Ricardo Lewis Phd</t>
  </si>
  <si>
    <t>Cutomer name</t>
  </si>
  <si>
    <t>Product name</t>
  </si>
  <si>
    <t>Customer name</t>
  </si>
  <si>
    <t>Sales date</t>
  </si>
  <si>
    <t>Sales quantity</t>
  </si>
  <si>
    <t>Total amount</t>
  </si>
  <si>
    <t>Row Labels</t>
  </si>
  <si>
    <t>(blank)</t>
  </si>
  <si>
    <t>Grand Total</t>
  </si>
  <si>
    <t>Sum of Price</t>
  </si>
  <si>
    <t>Sum of Total amount</t>
  </si>
  <si>
    <t>Sum of Sales quantity</t>
  </si>
  <si>
    <t>&lt;10-10-2024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</si>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</sst>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4009]dd/mm/yyyy;@"/>
    <numFmt numFmtId="167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  <xf numFmtId="167" fontId="3" fillId="0" borderId="2" xfId="0" applyNumberFormat="1" applyFont="1" applyFill="1" applyBorder="1" applyAlignment="1">
      <alignment horizontal="center" vertical="top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2">
    <cellStyle name="Hyperlink" xfId="1" builtinId="8"/>
    <cellStyle name="Normal" xfId="0" builtinId="0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Vignesh" refreshedDate="45929.860762731485" createdVersion="8" refreshedVersion="8" minRefreshableVersion="3" recordCount="1001" xr:uid="{E890165C-8737-4B5A-A09F-5B8BE83359EA}">
  <cacheSource type="worksheet">
    <worksheetSource ref="A1:L1048576" sheet="Sales table"/>
  </cacheSource>
  <cacheFields count="14">
    <cacheField name="Customer_ID" numFmtId="0">
      <sharedItems containsString="0" containsBlank="1" containsNumber="1" containsInteger="1" minValue="1001" maxValue="1300"/>
    </cacheField>
    <cacheField name="Product_ID" numFmtId="0">
      <sharedItems containsString="0" containsBlank="1" containsNumber="1" containsInteger="1" minValue="2001" maxValue="2025"/>
    </cacheField>
    <cacheField name="Store_ID" numFmtId="0">
      <sharedItems containsString="0" containsBlank="1" containsNumber="1" containsInteger="1" minValue="3001" maxValue="3035"/>
    </cacheField>
    <cacheField name="Customer name" numFmtId="0">
      <sharedItems containsBlank="1"/>
    </cacheField>
    <cacheField name="Age" numFmtId="0">
      <sharedItems containsString="0" containsBlank="1" containsNumber="1" containsInteger="1" minValue="18" maxValue="65"/>
    </cacheField>
    <cacheField name="City" numFmtId="0">
      <sharedItems containsBlank="1"/>
    </cacheField>
    <cacheField name="Product name" numFmtId="0">
      <sharedItems containsBlank="1"/>
    </cacheField>
    <cacheField name="Category" numFmtId="0">
      <sharedItems containsBlank="1" count="9">
        <s v="Accessories"/>
        <s v="Clothing"/>
        <s v="Home Decor"/>
        <s v="Electronics"/>
        <s v="Sweets &amp; Gifts"/>
        <s v="Other"/>
        <s v="Crackers"/>
        <s v="Precious Items"/>
        <m/>
      </sharedItems>
    </cacheField>
    <cacheField name="Price" numFmtId="0">
      <sharedItems containsString="0" containsBlank="1" containsNumber="1" containsInteger="1" minValue="2136" maxValue="17909"/>
    </cacheField>
    <cacheField name="Sales date" numFmtId="0">
      <sharedItems containsNonDate="0" containsDate="1" containsString="0" containsBlank="1" minDate="2024-10-10T00:00:00" maxDate="2024-11-21T00:00:00" count="43">
        <d v="2024-10-22T00:00:00"/>
        <d v="2024-10-28T00:00:00"/>
        <d v="2024-11-16T00:00:00"/>
        <d v="2024-11-19T00:00:00"/>
        <d v="2024-10-29T00:00:00"/>
        <d v="2024-11-04T00:00:00"/>
        <d v="2024-10-11T00:00:00"/>
        <d v="2024-10-15T00:00:00"/>
        <d v="2024-10-25T00:00:00"/>
        <d v="2024-11-17T00:00:00"/>
        <d v="2024-11-05T00:00:00"/>
        <d v="2024-10-27T00:00:00"/>
        <d v="2024-11-08T00:00:00"/>
        <d v="2024-11-14T00:00:00"/>
        <d v="2024-11-01T00:00:00"/>
        <d v="2024-11-02T00:00:00"/>
        <d v="2024-11-15T00:00:00"/>
        <d v="2024-11-12T00:00:00"/>
        <d v="2024-10-18T00:00:00"/>
        <d v="2024-11-11T00:00:00"/>
        <d v="2024-10-16T00:00:00"/>
        <d v="2024-10-10T00:00:00"/>
        <d v="2024-11-18T00:00:00"/>
        <d v="2024-10-23T00:00:00"/>
        <d v="2024-10-17T00:00:00"/>
        <d v="2024-10-20T00:00:00"/>
        <d v="2024-10-31T00:00:00"/>
        <d v="2024-10-30T00:00:00"/>
        <d v="2024-11-09T00:00:00"/>
        <d v="2024-11-07T00:00:00"/>
        <d v="2024-11-03T00:00:00"/>
        <d v="2024-10-14T00:00:00"/>
        <d v="2024-10-26T00:00:00"/>
        <d v="2024-10-24T00:00:00"/>
        <d v="2024-10-19T00:00:00"/>
        <d v="2024-11-13T00:00:00"/>
        <d v="2024-10-13T00:00:00"/>
        <d v="2024-11-10T00:00:00"/>
        <d v="2024-11-06T00:00:00"/>
        <d v="2024-10-21T00:00:00"/>
        <d v="2024-11-20T00:00:00"/>
        <d v="2024-10-12T00:00:00"/>
        <m/>
      </sharedItems>
      <fieldGroup par="13"/>
    </cacheField>
    <cacheField name="Sales quantity" numFmtId="0">
      <sharedItems containsString="0" containsBlank="1" containsNumber="1" containsInteger="1" minValue="1" maxValue="5"/>
    </cacheField>
    <cacheField name="Total amount" numFmtId="167">
      <sharedItems containsString="0" containsBlank="1" containsNumber="1" containsInteger="1" minValue="2136" maxValue="89545"/>
    </cacheField>
    <cacheField name="Days (Sales date)" numFmtId="0" databaseField="0">
      <fieldGroup base="9">
        <rangePr groupBy="days" startDate="2024-10-10T00:00:00" endDate="2024-11-21T00:00:00"/>
        <groupItems count="368">
          <s v="&lt;10-10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1-2024"/>
        </groupItems>
      </fieldGroup>
    </cacheField>
    <cacheField name="Months (Sales date)" numFmtId="0" databaseField="0">
      <fieldGroup base="9">
        <rangePr groupBy="months" startDate="2024-10-10T00:00:00" endDate="2024-11-21T00:00:00"/>
        <groupItems count="14">
          <s v="&lt;10-10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136"/>
    <n v="2025"/>
    <n v="3003"/>
    <s v="Brooke Oliver"/>
    <n v="30"/>
    <s v="Chennai"/>
    <s v="Handbag"/>
    <x v="0"/>
    <n v="17019"/>
    <x v="0"/>
    <n v="4"/>
    <n v="68076"/>
  </r>
  <r>
    <n v="1233"/>
    <n v="2023"/>
    <n v="3021"/>
    <s v="Matthew Jennings"/>
    <n v="65"/>
    <s v="Bangalore"/>
    <s v="Kids Wear"/>
    <x v="1"/>
    <n v="4794"/>
    <x v="1"/>
    <n v="3"/>
    <n v="14382"/>
  </r>
  <r>
    <n v="1267"/>
    <n v="2015"/>
    <n v="3012"/>
    <s v="Sharon Cannon"/>
    <n v="55"/>
    <s v="Mumbai"/>
    <s v="Candle Set"/>
    <x v="2"/>
    <n v="17604"/>
    <x v="1"/>
    <n v="3"/>
    <n v="52812"/>
  </r>
  <r>
    <n v="1031"/>
    <n v="2003"/>
    <n v="3019"/>
    <s v="William Smith"/>
    <n v="46"/>
    <s v="Hyderabad"/>
    <s v="Kurta"/>
    <x v="1"/>
    <n v="13241"/>
    <x v="2"/>
    <n v="1"/>
    <n v="13241"/>
  </r>
  <r>
    <n v="1237"/>
    <n v="2002"/>
    <n v="3006"/>
    <s v="Oscar Diaz"/>
    <n v="49"/>
    <s v="Kolkata"/>
    <s v="Saree"/>
    <x v="1"/>
    <n v="9534"/>
    <x v="3"/>
    <n v="5"/>
    <n v="47670"/>
  </r>
  <r>
    <n v="1095"/>
    <n v="2021"/>
    <n v="3012"/>
    <s v="Edward Johnson"/>
    <n v="49"/>
    <s v="Kolkata"/>
    <s v="Smartwatch"/>
    <x v="3"/>
    <n v="17586"/>
    <x v="4"/>
    <n v="1"/>
    <n v="17586"/>
  </r>
  <r>
    <n v="1105"/>
    <n v="2012"/>
    <n v="3011"/>
    <s v="Randall Odonnell"/>
    <n v="33"/>
    <s v="Mumbai"/>
    <s v="Wall Hanging"/>
    <x v="2"/>
    <n v="11867"/>
    <x v="5"/>
    <n v="1"/>
    <n v="11867"/>
  </r>
  <r>
    <n v="1007"/>
    <n v="2012"/>
    <n v="3032"/>
    <s v="Daniel Quinn"/>
    <n v="40"/>
    <s v="Pune"/>
    <s v="Wall Hanging"/>
    <x v="2"/>
    <n v="11867"/>
    <x v="1"/>
    <n v="2"/>
    <n v="23734"/>
  </r>
  <r>
    <n v="1239"/>
    <n v="2016"/>
    <n v="3014"/>
    <s v="Robert Burton"/>
    <n v="32"/>
    <s v="Chennai"/>
    <s v="Fairy Lights"/>
    <x v="2"/>
    <n v="12242"/>
    <x v="6"/>
    <n v="5"/>
    <n v="61210"/>
  </r>
  <r>
    <n v="1293"/>
    <n v="2005"/>
    <n v="3033"/>
    <s v="Debbie Rocha"/>
    <n v="33"/>
    <s v="Hyderabad"/>
    <s v="LED Lamp"/>
    <x v="2"/>
    <n v="3828"/>
    <x v="7"/>
    <n v="4"/>
    <n v="15312"/>
  </r>
  <r>
    <n v="1062"/>
    <n v="2015"/>
    <n v="3027"/>
    <s v="William Murphy"/>
    <n v="34"/>
    <s v="Chennai"/>
    <s v="Candle Set"/>
    <x v="2"/>
    <n v="17604"/>
    <x v="8"/>
    <n v="1"/>
    <n v="17604"/>
  </r>
  <r>
    <n v="1052"/>
    <n v="2009"/>
    <n v="3034"/>
    <s v="Kristin Ayers"/>
    <n v="38"/>
    <s v="Bangalore"/>
    <s v="Bluetooth Speaker"/>
    <x v="3"/>
    <n v="11047"/>
    <x v="9"/>
    <n v="1"/>
    <n v="11047"/>
  </r>
  <r>
    <n v="1012"/>
    <n v="2025"/>
    <n v="3005"/>
    <s v="John Dunlap"/>
    <n v="52"/>
    <s v="Delhi"/>
    <s v="Handbag"/>
    <x v="0"/>
    <n v="17019"/>
    <x v="10"/>
    <n v="2"/>
    <n v="34038"/>
  </r>
  <r>
    <n v="1091"/>
    <n v="2018"/>
    <n v="3010"/>
    <s v="Brandy Martinez"/>
    <n v="28"/>
    <s v="Kolkata"/>
    <s v="Dry Fruits Pack"/>
    <x v="4"/>
    <n v="7243"/>
    <x v="11"/>
    <n v="5"/>
    <n v="36215"/>
  </r>
  <r>
    <n v="1005"/>
    <n v="2011"/>
    <n v="3026"/>
    <s v="Nathan Porter"/>
    <n v="49"/>
    <s v="Mumbai"/>
    <s v="Festive Thali"/>
    <x v="5"/>
    <n v="7481"/>
    <x v="12"/>
    <n v="4"/>
    <n v="29924"/>
  </r>
  <r>
    <n v="1234"/>
    <n v="2003"/>
    <n v="3017"/>
    <s v="Kaitlyn Collier"/>
    <n v="55"/>
    <s v="Kolkata"/>
    <s v="Kurta"/>
    <x v="1"/>
    <n v="13241"/>
    <x v="13"/>
    <n v="4"/>
    <n v="52964"/>
  </r>
  <r>
    <n v="1089"/>
    <n v="2025"/>
    <n v="3028"/>
    <s v="Luis Smith"/>
    <n v="57"/>
    <s v="Mumbai"/>
    <s v="Handbag"/>
    <x v="0"/>
    <n v="17019"/>
    <x v="14"/>
    <n v="4"/>
    <n v="68076"/>
  </r>
  <r>
    <n v="1117"/>
    <n v="2023"/>
    <n v="3003"/>
    <s v="Matthew Nielsen"/>
    <n v="37"/>
    <s v="Hyderabad"/>
    <s v="Kids Wear"/>
    <x v="1"/>
    <n v="4794"/>
    <x v="15"/>
    <n v="2"/>
    <n v="9588"/>
  </r>
  <r>
    <n v="1103"/>
    <n v="2023"/>
    <n v="3020"/>
    <s v="Glenn Cook"/>
    <n v="58"/>
    <s v="Kolkata"/>
    <s v="Kids Wear"/>
    <x v="1"/>
    <n v="4794"/>
    <x v="14"/>
    <n v="2"/>
    <n v="9588"/>
  </r>
  <r>
    <n v="1276"/>
    <n v="2002"/>
    <n v="3012"/>
    <s v="Miss Tammy Cooper"/>
    <n v="42"/>
    <s v="Mumbai"/>
    <s v="Saree"/>
    <x v="1"/>
    <n v="9534"/>
    <x v="16"/>
    <n v="4"/>
    <n v="38136"/>
  </r>
  <r>
    <n v="1145"/>
    <n v="2021"/>
    <n v="3018"/>
    <s v="Valerie Love"/>
    <n v="51"/>
    <s v="Mumbai"/>
    <s v="Smartwatch"/>
    <x v="3"/>
    <n v="17586"/>
    <x v="13"/>
    <n v="3"/>
    <n v="52758"/>
  </r>
  <r>
    <n v="1105"/>
    <n v="2025"/>
    <n v="3009"/>
    <s v="Randall Odonnell"/>
    <n v="33"/>
    <s v="Mumbai"/>
    <s v="Handbag"/>
    <x v="0"/>
    <n v="17019"/>
    <x v="5"/>
    <n v="1"/>
    <n v="17019"/>
  </r>
  <r>
    <n v="1210"/>
    <n v="2023"/>
    <n v="3020"/>
    <s v="Laura Wong"/>
    <n v="55"/>
    <s v="Delhi"/>
    <s v="Kids Wear"/>
    <x v="1"/>
    <n v="4794"/>
    <x v="5"/>
    <n v="2"/>
    <n v="9588"/>
  </r>
  <r>
    <n v="1031"/>
    <n v="2012"/>
    <n v="3015"/>
    <s v="William Smith"/>
    <n v="46"/>
    <s v="Hyderabad"/>
    <s v="Wall Hanging"/>
    <x v="2"/>
    <n v="11867"/>
    <x v="2"/>
    <n v="1"/>
    <n v="11867"/>
  </r>
  <r>
    <n v="1268"/>
    <n v="2025"/>
    <n v="3025"/>
    <s v="Anita Thompson"/>
    <n v="51"/>
    <s v="Delhi"/>
    <s v="Handbag"/>
    <x v="0"/>
    <n v="17019"/>
    <x v="17"/>
    <n v="2"/>
    <n v="34038"/>
  </r>
  <r>
    <n v="1029"/>
    <n v="2006"/>
    <n v="3017"/>
    <s v="Leonard Smith"/>
    <n v="49"/>
    <s v="Hyderabad"/>
    <s v="Crackers Pack"/>
    <x v="6"/>
    <n v="12060"/>
    <x v="11"/>
    <n v="2"/>
    <n v="24120"/>
  </r>
  <r>
    <n v="1110"/>
    <n v="2013"/>
    <n v="3012"/>
    <s v="Michelle Hardin"/>
    <n v="64"/>
    <s v="Delhi"/>
    <s v="Silver Coin"/>
    <x v="7"/>
    <n v="11845"/>
    <x v="18"/>
    <n v="3"/>
    <n v="35535"/>
  </r>
  <r>
    <n v="1269"/>
    <n v="2023"/>
    <n v="3001"/>
    <s v="Anne Harris"/>
    <n v="33"/>
    <s v="Kolkata"/>
    <s v="Kids Wear"/>
    <x v="1"/>
    <n v="4794"/>
    <x v="19"/>
    <n v="5"/>
    <n v="23970"/>
  </r>
  <r>
    <n v="1226"/>
    <n v="2003"/>
    <n v="3019"/>
    <s v="Joshua Anderson"/>
    <n v="41"/>
    <s v="Kolkata"/>
    <s v="Kurta"/>
    <x v="1"/>
    <n v="13241"/>
    <x v="20"/>
    <n v="4"/>
    <n v="52964"/>
  </r>
  <r>
    <n v="1251"/>
    <n v="2008"/>
    <n v="3016"/>
    <s v="Zachary Browning"/>
    <n v="20"/>
    <s v="Hyderabad"/>
    <s v="Earthen Diyas"/>
    <x v="2"/>
    <n v="2136"/>
    <x v="2"/>
    <n v="1"/>
    <n v="2136"/>
  </r>
  <r>
    <n v="1065"/>
    <n v="2025"/>
    <n v="3031"/>
    <s v="Carrie Hammond"/>
    <n v="35"/>
    <s v="Pune"/>
    <s v="Handbag"/>
    <x v="0"/>
    <n v="17019"/>
    <x v="21"/>
    <n v="1"/>
    <n v="17019"/>
  </r>
  <r>
    <n v="1033"/>
    <n v="2015"/>
    <n v="3007"/>
    <s v="Maria Holt"/>
    <n v="18"/>
    <s v="Bangalore"/>
    <s v="Candle Set"/>
    <x v="2"/>
    <n v="17604"/>
    <x v="22"/>
    <n v="4"/>
    <n v="70416"/>
  </r>
  <r>
    <n v="1069"/>
    <n v="2020"/>
    <n v="3013"/>
    <s v="Calvin Wright"/>
    <n v="63"/>
    <s v="Chennai"/>
    <s v="Ethnic Jewelry"/>
    <x v="7"/>
    <n v="4495"/>
    <x v="22"/>
    <n v="2"/>
    <n v="8990"/>
  </r>
  <r>
    <n v="1018"/>
    <n v="2010"/>
    <n v="3010"/>
    <s v="Mariah Kim"/>
    <n v="34"/>
    <s v="Mumbai"/>
    <s v="Chocolate Box"/>
    <x v="4"/>
    <n v="17909"/>
    <x v="13"/>
    <n v="1"/>
    <n v="17909"/>
  </r>
  <r>
    <n v="1084"/>
    <n v="2003"/>
    <n v="3001"/>
    <s v="Sharon Baker"/>
    <n v="48"/>
    <s v="Chennai"/>
    <s v="Kurta"/>
    <x v="1"/>
    <n v="13241"/>
    <x v="9"/>
    <n v="2"/>
    <n v="26482"/>
  </r>
  <r>
    <n v="1217"/>
    <n v="2021"/>
    <n v="3012"/>
    <s v="Lisa Kelly"/>
    <n v="23"/>
    <s v="Mumbai"/>
    <s v="Smartwatch"/>
    <x v="3"/>
    <n v="17586"/>
    <x v="23"/>
    <n v="1"/>
    <n v="17586"/>
  </r>
  <r>
    <n v="1009"/>
    <n v="2017"/>
    <n v="3024"/>
    <s v="Kayla Long"/>
    <n v="57"/>
    <s v="Pune"/>
    <s v="Handmade Pottery"/>
    <x v="2"/>
    <n v="8186"/>
    <x v="10"/>
    <n v="2"/>
    <n v="16372"/>
  </r>
  <r>
    <n v="1036"/>
    <n v="2024"/>
    <n v="3009"/>
    <s v="Rebecca Harris"/>
    <n v="27"/>
    <s v="Kolkata"/>
    <s v="Perfume Gift Set"/>
    <x v="0"/>
    <n v="16272"/>
    <x v="4"/>
    <n v="2"/>
    <n v="32544"/>
  </r>
  <r>
    <n v="1249"/>
    <n v="2003"/>
    <n v="3004"/>
    <s v="Robert Keller"/>
    <n v="22"/>
    <s v="Mumbai"/>
    <s v="Kurta"/>
    <x v="1"/>
    <n v="13241"/>
    <x v="21"/>
    <n v="3"/>
    <n v="39723"/>
  </r>
  <r>
    <n v="1254"/>
    <n v="2009"/>
    <n v="3012"/>
    <s v="Matthew Smith"/>
    <n v="49"/>
    <s v="Pune"/>
    <s v="Bluetooth Speaker"/>
    <x v="3"/>
    <n v="11047"/>
    <x v="17"/>
    <n v="5"/>
    <n v="55235"/>
  </r>
  <r>
    <n v="1172"/>
    <n v="2022"/>
    <n v="3016"/>
    <s v="Angela Rivera"/>
    <n v="44"/>
    <s v="Mumbai"/>
    <s v="Home Decor Statue"/>
    <x v="2"/>
    <n v="17149"/>
    <x v="0"/>
    <n v="4"/>
    <n v="68596"/>
  </r>
  <r>
    <n v="1010"/>
    <n v="2005"/>
    <n v="3015"/>
    <s v="Maria Lewis"/>
    <n v="27"/>
    <s v="Pune"/>
    <s v="LED Lamp"/>
    <x v="2"/>
    <n v="3828"/>
    <x v="24"/>
    <n v="5"/>
    <n v="19140"/>
  </r>
  <r>
    <n v="1097"/>
    <n v="2011"/>
    <n v="3009"/>
    <s v="Michelle Lowe"/>
    <n v="35"/>
    <s v="Bangalore"/>
    <s v="Festive Thali"/>
    <x v="5"/>
    <n v="7481"/>
    <x v="17"/>
    <n v="4"/>
    <n v="29924"/>
  </r>
  <r>
    <n v="1088"/>
    <n v="2016"/>
    <n v="3013"/>
    <s v="Mark Mitchell"/>
    <n v="58"/>
    <s v="Delhi"/>
    <s v="Fairy Lights"/>
    <x v="2"/>
    <n v="12242"/>
    <x v="21"/>
    <n v="3"/>
    <n v="36726"/>
  </r>
  <r>
    <n v="1294"/>
    <n v="2003"/>
    <n v="3003"/>
    <s v="Nathaniel Beck"/>
    <n v="36"/>
    <s v="Kolkata"/>
    <s v="Kurta"/>
    <x v="1"/>
    <n v="13241"/>
    <x v="25"/>
    <n v="5"/>
    <n v="66205"/>
  </r>
  <r>
    <n v="1200"/>
    <n v="2025"/>
    <n v="3013"/>
    <s v="Brian Campbell"/>
    <n v="28"/>
    <s v="Chennai"/>
    <s v="Handbag"/>
    <x v="0"/>
    <n v="17019"/>
    <x v="20"/>
    <n v="1"/>
    <n v="17019"/>
  </r>
  <r>
    <n v="1247"/>
    <n v="2013"/>
    <n v="3014"/>
    <s v="Tyler Melendez Dvm"/>
    <n v="61"/>
    <s v="Delhi"/>
    <s v="Silver Coin"/>
    <x v="7"/>
    <n v="11845"/>
    <x v="12"/>
    <n v="5"/>
    <n v="59225"/>
  </r>
  <r>
    <n v="1298"/>
    <n v="2003"/>
    <n v="3004"/>
    <s v="Kim Smith"/>
    <n v="50"/>
    <s v="Chennai"/>
    <s v="Kurta"/>
    <x v="1"/>
    <n v="13241"/>
    <x v="26"/>
    <n v="3"/>
    <n v="39723"/>
  </r>
  <r>
    <n v="1286"/>
    <n v="2009"/>
    <n v="3012"/>
    <s v="Anthony Taylor"/>
    <n v="33"/>
    <s v="Mumbai"/>
    <s v="Bluetooth Speaker"/>
    <x v="3"/>
    <n v="11047"/>
    <x v="27"/>
    <n v="1"/>
    <n v="11047"/>
  </r>
  <r>
    <n v="1119"/>
    <n v="2004"/>
    <n v="3005"/>
    <s v="Javier Calderon"/>
    <n v="45"/>
    <s v="Delhi"/>
    <s v="Smartphone"/>
    <x v="3"/>
    <n v="4952"/>
    <x v="3"/>
    <n v="4"/>
    <n v="19808"/>
  </r>
  <r>
    <n v="1271"/>
    <n v="2019"/>
    <n v="3001"/>
    <s v="Alicia Bailey"/>
    <n v="41"/>
    <s v="Bangalore"/>
    <s v="Designer Kurti"/>
    <x v="1"/>
    <n v="13620"/>
    <x v="28"/>
    <n v="2"/>
    <n v="27240"/>
  </r>
  <r>
    <n v="1092"/>
    <n v="2002"/>
    <n v="3030"/>
    <s v="Joseph Thomas"/>
    <n v="23"/>
    <s v="Hyderabad"/>
    <s v="Saree"/>
    <x v="1"/>
    <n v="9534"/>
    <x v="16"/>
    <n v="5"/>
    <n v="47670"/>
  </r>
  <r>
    <n v="1146"/>
    <n v="2017"/>
    <n v="3017"/>
    <s v="Angela Martin"/>
    <n v="61"/>
    <s v="Bangalore"/>
    <s v="Handmade Pottery"/>
    <x v="2"/>
    <n v="8186"/>
    <x v="17"/>
    <n v="1"/>
    <n v="8186"/>
  </r>
  <r>
    <n v="1204"/>
    <n v="2022"/>
    <n v="3017"/>
    <s v="William Freeman"/>
    <n v="49"/>
    <s v="Mumbai"/>
    <s v="Home Decor Statue"/>
    <x v="2"/>
    <n v="17149"/>
    <x v="24"/>
    <n v="3"/>
    <n v="51447"/>
  </r>
  <r>
    <n v="1181"/>
    <n v="2002"/>
    <n v="3011"/>
    <s v="Joseph Browning"/>
    <n v="59"/>
    <s v="Hyderabad"/>
    <s v="Saree"/>
    <x v="1"/>
    <n v="9534"/>
    <x v="9"/>
    <n v="2"/>
    <n v="19068"/>
  </r>
  <r>
    <n v="1247"/>
    <n v="2017"/>
    <n v="3026"/>
    <s v="Tyler Melendez Dvm"/>
    <n v="61"/>
    <s v="Delhi"/>
    <s v="Handmade Pottery"/>
    <x v="2"/>
    <n v="8186"/>
    <x v="12"/>
    <n v="5"/>
    <n v="40930"/>
  </r>
  <r>
    <n v="1043"/>
    <n v="2005"/>
    <n v="3014"/>
    <s v="Brenda Foster"/>
    <n v="49"/>
    <s v="Bangalore"/>
    <s v="LED Lamp"/>
    <x v="2"/>
    <n v="3828"/>
    <x v="10"/>
    <n v="2"/>
    <n v="7656"/>
  </r>
  <r>
    <n v="1017"/>
    <n v="2014"/>
    <n v="3017"/>
    <s v="Sandra Hamilton"/>
    <n v="39"/>
    <s v="Kolkata"/>
    <s v="Gold Coin"/>
    <x v="7"/>
    <n v="13823"/>
    <x v="29"/>
    <n v="2"/>
    <n v="27646"/>
  </r>
  <r>
    <n v="1053"/>
    <n v="2017"/>
    <n v="3012"/>
    <s v="Brandon Martin"/>
    <n v="52"/>
    <s v="Kolkata"/>
    <s v="Handmade Pottery"/>
    <x v="2"/>
    <n v="8186"/>
    <x v="12"/>
    <n v="3"/>
    <n v="24558"/>
  </r>
  <r>
    <n v="1087"/>
    <n v="2003"/>
    <n v="3006"/>
    <s v="Jared Romero"/>
    <n v="26"/>
    <s v="Hyderabad"/>
    <s v="Kurta"/>
    <x v="1"/>
    <n v="13241"/>
    <x v="10"/>
    <n v="5"/>
    <n v="66205"/>
  </r>
  <r>
    <n v="1157"/>
    <n v="2014"/>
    <n v="3026"/>
    <s v="John West"/>
    <n v="22"/>
    <s v="Pune"/>
    <s v="Gold Coin"/>
    <x v="7"/>
    <n v="13823"/>
    <x v="1"/>
    <n v="2"/>
    <n v="27646"/>
  </r>
  <r>
    <n v="1296"/>
    <n v="2006"/>
    <n v="3002"/>
    <s v="Robert Lee"/>
    <n v="40"/>
    <s v="Pune"/>
    <s v="Crackers Pack"/>
    <x v="6"/>
    <n v="12060"/>
    <x v="13"/>
    <n v="1"/>
    <n v="12060"/>
  </r>
  <r>
    <n v="1001"/>
    <n v="2022"/>
    <n v="3021"/>
    <s v="Michael Mitchell"/>
    <n v="35"/>
    <s v="Mumbai"/>
    <s v="Home Decor Statue"/>
    <x v="2"/>
    <n v="17149"/>
    <x v="11"/>
    <n v="1"/>
    <n v="17149"/>
  </r>
  <r>
    <n v="1279"/>
    <n v="2012"/>
    <n v="3005"/>
    <s v="Erin Mann"/>
    <n v="52"/>
    <s v="Delhi"/>
    <s v="Wall Hanging"/>
    <x v="2"/>
    <n v="11867"/>
    <x v="16"/>
    <n v="5"/>
    <n v="59335"/>
  </r>
  <r>
    <n v="1123"/>
    <n v="2011"/>
    <n v="3001"/>
    <s v="Luis Long"/>
    <n v="53"/>
    <s v="Chennai"/>
    <s v="Festive Thali"/>
    <x v="5"/>
    <n v="7481"/>
    <x v="14"/>
    <n v="5"/>
    <n v="37405"/>
  </r>
  <r>
    <n v="1147"/>
    <n v="2005"/>
    <n v="3030"/>
    <s v="Edward Greene"/>
    <n v="58"/>
    <s v="Hyderabad"/>
    <s v="LED Lamp"/>
    <x v="2"/>
    <n v="3828"/>
    <x v="29"/>
    <n v="1"/>
    <n v="3828"/>
  </r>
  <r>
    <n v="1137"/>
    <n v="2016"/>
    <n v="3025"/>
    <s v="Karen Perez"/>
    <n v="61"/>
    <s v="Mumbai"/>
    <s v="Fairy Lights"/>
    <x v="2"/>
    <n v="12242"/>
    <x v="30"/>
    <n v="4"/>
    <n v="48968"/>
  </r>
  <r>
    <n v="1045"/>
    <n v="2009"/>
    <n v="3006"/>
    <s v="Melanie Santana"/>
    <n v="62"/>
    <s v="Hyderabad"/>
    <s v="Bluetooth Speaker"/>
    <x v="3"/>
    <n v="11047"/>
    <x v="4"/>
    <n v="2"/>
    <n v="22094"/>
  </r>
  <r>
    <n v="1267"/>
    <n v="2025"/>
    <n v="3024"/>
    <s v="Sharon Cannon"/>
    <n v="55"/>
    <s v="Mumbai"/>
    <s v="Handbag"/>
    <x v="0"/>
    <n v="17019"/>
    <x v="1"/>
    <n v="3"/>
    <n v="51057"/>
  </r>
  <r>
    <n v="1004"/>
    <n v="2022"/>
    <n v="3031"/>
    <s v="Holly Hopkins"/>
    <n v="65"/>
    <s v="Mumbai"/>
    <s v="Home Decor Statue"/>
    <x v="2"/>
    <n v="17149"/>
    <x v="31"/>
    <n v="2"/>
    <n v="34298"/>
  </r>
  <r>
    <n v="1264"/>
    <n v="2020"/>
    <n v="3008"/>
    <s v="Stephanie King"/>
    <n v="41"/>
    <s v="Mumbai"/>
    <s v="Ethnic Jewelry"/>
    <x v="7"/>
    <n v="4495"/>
    <x v="25"/>
    <n v="2"/>
    <n v="8990"/>
  </r>
  <r>
    <n v="1008"/>
    <n v="2024"/>
    <n v="3014"/>
    <s v="Elizabeth Woods"/>
    <n v="61"/>
    <s v="Pune"/>
    <s v="Perfume Gift Set"/>
    <x v="0"/>
    <n v="16272"/>
    <x v="5"/>
    <n v="2"/>
    <n v="32544"/>
  </r>
  <r>
    <n v="1006"/>
    <n v="2015"/>
    <n v="3025"/>
    <s v="Melissa Peterson"/>
    <n v="49"/>
    <s v="Delhi"/>
    <s v="Candle Set"/>
    <x v="2"/>
    <n v="17604"/>
    <x v="30"/>
    <n v="4"/>
    <n v="70416"/>
  </r>
  <r>
    <n v="1144"/>
    <n v="2008"/>
    <n v="3005"/>
    <s v="Amanda Henry"/>
    <n v="63"/>
    <s v="Hyderabad"/>
    <s v="Earthen Diyas"/>
    <x v="2"/>
    <n v="2136"/>
    <x v="27"/>
    <n v="5"/>
    <n v="10680"/>
  </r>
  <r>
    <n v="1025"/>
    <n v="2001"/>
    <n v="3016"/>
    <s v="Susan Wheeler"/>
    <n v="36"/>
    <s v="Kolkata"/>
    <s v="Sweets Box"/>
    <x v="4"/>
    <n v="7228"/>
    <x v="32"/>
    <n v="2"/>
    <n v="14456"/>
  </r>
  <r>
    <n v="1077"/>
    <n v="2016"/>
    <n v="3020"/>
    <s v="Carlos Hester"/>
    <n v="36"/>
    <s v="Delhi"/>
    <s v="Fairy Lights"/>
    <x v="2"/>
    <n v="12242"/>
    <x v="23"/>
    <n v="4"/>
    <n v="48968"/>
  </r>
  <r>
    <n v="1113"/>
    <n v="2014"/>
    <n v="3031"/>
    <s v="Tyler Lozano"/>
    <n v="62"/>
    <s v="Chennai"/>
    <s v="Gold Coin"/>
    <x v="7"/>
    <n v="13823"/>
    <x v="17"/>
    <n v="1"/>
    <n v="13823"/>
  </r>
  <r>
    <n v="1185"/>
    <n v="2011"/>
    <n v="3027"/>
    <s v="Patrick Osborn"/>
    <n v="52"/>
    <s v="Mumbai"/>
    <s v="Festive Thali"/>
    <x v="5"/>
    <n v="7481"/>
    <x v="14"/>
    <n v="4"/>
    <n v="29924"/>
  </r>
  <r>
    <n v="1083"/>
    <n v="2012"/>
    <n v="3015"/>
    <s v="James Barrera"/>
    <n v="31"/>
    <s v="Pune"/>
    <s v="Wall Hanging"/>
    <x v="2"/>
    <n v="11867"/>
    <x v="1"/>
    <n v="4"/>
    <n v="47468"/>
  </r>
  <r>
    <n v="1115"/>
    <n v="2006"/>
    <n v="3017"/>
    <s v="Valerie Winters"/>
    <n v="61"/>
    <s v="Delhi"/>
    <s v="Crackers Pack"/>
    <x v="6"/>
    <n v="12060"/>
    <x v="1"/>
    <n v="4"/>
    <n v="48240"/>
  </r>
  <r>
    <n v="1244"/>
    <n v="2013"/>
    <n v="3028"/>
    <s v="Leonard Kim"/>
    <n v="18"/>
    <s v="Hyderabad"/>
    <s v="Silver Coin"/>
    <x v="7"/>
    <n v="11845"/>
    <x v="33"/>
    <n v="1"/>
    <n v="11845"/>
  </r>
  <r>
    <n v="1141"/>
    <n v="2012"/>
    <n v="3026"/>
    <s v="Pamela Smith"/>
    <n v="40"/>
    <s v="Bangalore"/>
    <s v="Wall Hanging"/>
    <x v="2"/>
    <n v="11867"/>
    <x v="34"/>
    <n v="5"/>
    <n v="59335"/>
  </r>
  <r>
    <n v="1221"/>
    <n v="2013"/>
    <n v="3033"/>
    <s v="Elizabeth Garcia"/>
    <n v="29"/>
    <s v="Chennai"/>
    <s v="Silver Coin"/>
    <x v="7"/>
    <n v="11845"/>
    <x v="14"/>
    <n v="1"/>
    <n v="11845"/>
  </r>
  <r>
    <n v="1113"/>
    <n v="2010"/>
    <n v="3035"/>
    <s v="Tyler Lozano"/>
    <n v="62"/>
    <s v="Chennai"/>
    <s v="Chocolate Box"/>
    <x v="4"/>
    <n v="17909"/>
    <x v="17"/>
    <n v="1"/>
    <n v="17909"/>
  </r>
  <r>
    <n v="1165"/>
    <n v="2021"/>
    <n v="3031"/>
    <s v="Amanda Carter"/>
    <n v="38"/>
    <s v="Kolkata"/>
    <s v="Smartwatch"/>
    <x v="3"/>
    <n v="17586"/>
    <x v="2"/>
    <n v="4"/>
    <n v="70344"/>
  </r>
  <r>
    <n v="1190"/>
    <n v="2016"/>
    <n v="3010"/>
    <s v="Mark Stanton"/>
    <n v="29"/>
    <s v="Delhi"/>
    <s v="Fairy Lights"/>
    <x v="2"/>
    <n v="12242"/>
    <x v="35"/>
    <n v="5"/>
    <n v="61210"/>
  </r>
  <r>
    <n v="1085"/>
    <n v="2004"/>
    <n v="3030"/>
    <s v="Amanda Nichols"/>
    <n v="36"/>
    <s v="Delhi"/>
    <s v="Smartphone"/>
    <x v="3"/>
    <n v="4952"/>
    <x v="27"/>
    <n v="2"/>
    <n v="9904"/>
  </r>
  <r>
    <n v="1234"/>
    <n v="2004"/>
    <n v="3033"/>
    <s v="Kaitlyn Collier"/>
    <n v="55"/>
    <s v="Kolkata"/>
    <s v="Smartphone"/>
    <x v="3"/>
    <n v="4952"/>
    <x v="13"/>
    <n v="4"/>
    <n v="19808"/>
  </r>
  <r>
    <n v="1043"/>
    <n v="2023"/>
    <n v="3012"/>
    <s v="Brenda Foster"/>
    <n v="49"/>
    <s v="Bangalore"/>
    <s v="Kids Wear"/>
    <x v="1"/>
    <n v="4794"/>
    <x v="10"/>
    <n v="2"/>
    <n v="9588"/>
  </r>
  <r>
    <n v="1266"/>
    <n v="2001"/>
    <n v="3023"/>
    <s v="Kim Mckinney"/>
    <n v="48"/>
    <s v="Delhi"/>
    <s v="Sweets Box"/>
    <x v="4"/>
    <n v="7228"/>
    <x v="12"/>
    <n v="5"/>
    <n v="36140"/>
  </r>
  <r>
    <n v="1182"/>
    <n v="2024"/>
    <n v="3020"/>
    <s v="Benjamin Sanchez"/>
    <n v="47"/>
    <s v="Bangalore"/>
    <s v="Perfume Gift Set"/>
    <x v="0"/>
    <n v="16272"/>
    <x v="12"/>
    <n v="2"/>
    <n v="32544"/>
  </r>
  <r>
    <n v="1158"/>
    <n v="2023"/>
    <n v="3028"/>
    <s v="David Smith"/>
    <n v="59"/>
    <s v="Mumbai"/>
    <s v="Kids Wear"/>
    <x v="1"/>
    <n v="4794"/>
    <x v="7"/>
    <n v="1"/>
    <n v="4794"/>
  </r>
  <r>
    <n v="1089"/>
    <n v="2008"/>
    <n v="3013"/>
    <s v="Luis Smith"/>
    <n v="57"/>
    <s v="Mumbai"/>
    <s v="Earthen Diyas"/>
    <x v="2"/>
    <n v="2136"/>
    <x v="14"/>
    <n v="4"/>
    <n v="8544"/>
  </r>
  <r>
    <n v="1160"/>
    <n v="2009"/>
    <n v="3032"/>
    <s v="Adam Morris"/>
    <n v="26"/>
    <s v="Hyderabad"/>
    <s v="Bluetooth Speaker"/>
    <x v="3"/>
    <n v="11047"/>
    <x v="34"/>
    <n v="5"/>
    <n v="55235"/>
  </r>
  <r>
    <n v="1172"/>
    <n v="2015"/>
    <n v="3016"/>
    <s v="Angela Rivera"/>
    <n v="44"/>
    <s v="Mumbai"/>
    <s v="Candle Set"/>
    <x v="2"/>
    <n v="17604"/>
    <x v="0"/>
    <n v="4"/>
    <n v="70416"/>
  </r>
  <r>
    <n v="1118"/>
    <n v="2019"/>
    <n v="3015"/>
    <s v="Jillian Khan"/>
    <n v="29"/>
    <s v="Pune"/>
    <s v="Designer Kurti"/>
    <x v="1"/>
    <n v="13620"/>
    <x v="32"/>
    <n v="3"/>
    <n v="40860"/>
  </r>
  <r>
    <n v="1245"/>
    <n v="2013"/>
    <n v="3028"/>
    <s v="Donna Wheeler"/>
    <n v="61"/>
    <s v="Hyderabad"/>
    <s v="Silver Coin"/>
    <x v="7"/>
    <n v="11845"/>
    <x v="6"/>
    <n v="4"/>
    <n v="47380"/>
  </r>
  <r>
    <n v="1225"/>
    <n v="2001"/>
    <n v="3005"/>
    <s v="Robert Perez"/>
    <n v="39"/>
    <s v="Chennai"/>
    <s v="Sweets Box"/>
    <x v="4"/>
    <n v="7228"/>
    <x v="36"/>
    <n v="5"/>
    <n v="36140"/>
  </r>
  <r>
    <n v="1273"/>
    <n v="2018"/>
    <n v="3007"/>
    <s v="Anthony Mayer"/>
    <n v="47"/>
    <s v="Pune"/>
    <s v="Dry Fruits Pack"/>
    <x v="4"/>
    <n v="7243"/>
    <x v="20"/>
    <n v="1"/>
    <n v="7243"/>
  </r>
  <r>
    <n v="1267"/>
    <n v="2013"/>
    <n v="3008"/>
    <s v="Sharon Cannon"/>
    <n v="55"/>
    <s v="Mumbai"/>
    <s v="Silver Coin"/>
    <x v="7"/>
    <n v="11845"/>
    <x v="1"/>
    <n v="3"/>
    <n v="35535"/>
  </r>
  <r>
    <n v="1188"/>
    <n v="2001"/>
    <n v="3024"/>
    <s v="Timothy Graham"/>
    <n v="33"/>
    <s v="Kolkata"/>
    <s v="Sweets Box"/>
    <x v="4"/>
    <n v="7228"/>
    <x v="20"/>
    <n v="3"/>
    <n v="21684"/>
  </r>
  <r>
    <n v="1012"/>
    <n v="2016"/>
    <n v="3021"/>
    <s v="John Dunlap"/>
    <n v="52"/>
    <s v="Delhi"/>
    <s v="Fairy Lights"/>
    <x v="2"/>
    <n v="12242"/>
    <x v="10"/>
    <n v="2"/>
    <n v="24484"/>
  </r>
  <r>
    <n v="1025"/>
    <n v="2022"/>
    <n v="3002"/>
    <s v="Susan Wheeler"/>
    <n v="36"/>
    <s v="Kolkata"/>
    <s v="Home Decor Statue"/>
    <x v="2"/>
    <n v="17149"/>
    <x v="32"/>
    <n v="2"/>
    <n v="34298"/>
  </r>
  <r>
    <n v="1115"/>
    <n v="2018"/>
    <n v="3015"/>
    <s v="Valerie Winters"/>
    <n v="61"/>
    <s v="Delhi"/>
    <s v="Dry Fruits Pack"/>
    <x v="4"/>
    <n v="7243"/>
    <x v="1"/>
    <n v="4"/>
    <n v="28972"/>
  </r>
  <r>
    <n v="1046"/>
    <n v="2004"/>
    <n v="3020"/>
    <s v="Leslie Little"/>
    <n v="34"/>
    <s v="Chennai"/>
    <s v="Smartphone"/>
    <x v="3"/>
    <n v="4952"/>
    <x v="13"/>
    <n v="5"/>
    <n v="24760"/>
  </r>
  <r>
    <n v="1084"/>
    <n v="2025"/>
    <n v="3001"/>
    <s v="Sharon Baker"/>
    <n v="48"/>
    <s v="Chennai"/>
    <s v="Handbag"/>
    <x v="0"/>
    <n v="17019"/>
    <x v="9"/>
    <n v="2"/>
    <n v="34038"/>
  </r>
  <r>
    <n v="1099"/>
    <n v="2006"/>
    <n v="3035"/>
    <s v="Paul Chan"/>
    <n v="62"/>
    <s v="Hyderabad"/>
    <s v="Crackers Pack"/>
    <x v="6"/>
    <n v="12060"/>
    <x v="10"/>
    <n v="5"/>
    <n v="60300"/>
  </r>
  <r>
    <n v="1059"/>
    <n v="2021"/>
    <n v="3014"/>
    <s v="Cynthia Johnson"/>
    <n v="44"/>
    <s v="Bangalore"/>
    <s v="Smartwatch"/>
    <x v="3"/>
    <n v="17586"/>
    <x v="2"/>
    <n v="2"/>
    <n v="35172"/>
  </r>
  <r>
    <n v="1159"/>
    <n v="2021"/>
    <n v="3016"/>
    <s v="William Smith"/>
    <n v="65"/>
    <s v="Mumbai"/>
    <s v="Smartwatch"/>
    <x v="3"/>
    <n v="17586"/>
    <x v="37"/>
    <n v="2"/>
    <n v="35172"/>
  </r>
  <r>
    <n v="1134"/>
    <n v="2013"/>
    <n v="3031"/>
    <s v="Bobby Neal"/>
    <n v="61"/>
    <s v="Kolkata"/>
    <s v="Silver Coin"/>
    <x v="7"/>
    <n v="11845"/>
    <x v="2"/>
    <n v="1"/>
    <n v="11845"/>
  </r>
  <r>
    <n v="1258"/>
    <n v="2015"/>
    <n v="3028"/>
    <s v="Corey Lewis"/>
    <n v="39"/>
    <s v="Delhi"/>
    <s v="Candle Set"/>
    <x v="2"/>
    <n v="17604"/>
    <x v="30"/>
    <n v="2"/>
    <n v="35208"/>
  </r>
  <r>
    <n v="1265"/>
    <n v="2011"/>
    <n v="3014"/>
    <s v="Cynthia Chen"/>
    <n v="30"/>
    <s v="Mumbai"/>
    <s v="Festive Thali"/>
    <x v="5"/>
    <n v="7481"/>
    <x v="38"/>
    <n v="2"/>
    <n v="14962"/>
  </r>
  <r>
    <n v="1146"/>
    <n v="2018"/>
    <n v="3029"/>
    <s v="Angela Martin"/>
    <n v="61"/>
    <s v="Bangalore"/>
    <s v="Dry Fruits Pack"/>
    <x v="4"/>
    <n v="7243"/>
    <x v="17"/>
    <n v="1"/>
    <n v="7243"/>
  </r>
  <r>
    <n v="1087"/>
    <n v="2010"/>
    <n v="3020"/>
    <s v="Jared Romero"/>
    <n v="26"/>
    <s v="Hyderabad"/>
    <s v="Chocolate Box"/>
    <x v="4"/>
    <n v="17909"/>
    <x v="10"/>
    <n v="5"/>
    <n v="89545"/>
  </r>
  <r>
    <n v="1055"/>
    <n v="2009"/>
    <n v="3022"/>
    <s v="Tina Armstrong"/>
    <n v="44"/>
    <s v="Mumbai"/>
    <s v="Bluetooth Speaker"/>
    <x v="3"/>
    <n v="11047"/>
    <x v="24"/>
    <n v="1"/>
    <n v="11047"/>
  </r>
  <r>
    <n v="1052"/>
    <n v="2022"/>
    <n v="3034"/>
    <s v="Kristin Ayers"/>
    <n v="38"/>
    <s v="Bangalore"/>
    <s v="Home Decor Statue"/>
    <x v="2"/>
    <n v="17149"/>
    <x v="9"/>
    <n v="1"/>
    <n v="17149"/>
  </r>
  <r>
    <n v="1220"/>
    <n v="2006"/>
    <n v="3001"/>
    <s v="Desiree Reed"/>
    <n v="29"/>
    <s v="Hyderabad"/>
    <s v="Crackers Pack"/>
    <x v="6"/>
    <n v="12060"/>
    <x v="17"/>
    <n v="2"/>
    <n v="24120"/>
  </r>
  <r>
    <n v="1120"/>
    <n v="2005"/>
    <n v="3012"/>
    <s v="Tracey Gibson"/>
    <n v="57"/>
    <s v="Mumbai"/>
    <s v="LED Lamp"/>
    <x v="2"/>
    <n v="3828"/>
    <x v="3"/>
    <n v="4"/>
    <n v="15312"/>
  </r>
  <r>
    <n v="1142"/>
    <n v="2011"/>
    <n v="3007"/>
    <s v="Derek Coffey"/>
    <n v="21"/>
    <s v="Chennai"/>
    <s v="Festive Thali"/>
    <x v="5"/>
    <n v="7481"/>
    <x v="25"/>
    <n v="5"/>
    <n v="37405"/>
  </r>
  <r>
    <n v="1014"/>
    <n v="2001"/>
    <n v="3007"/>
    <s v="Gregory Maddox"/>
    <n v="47"/>
    <s v="Mumbai"/>
    <s v="Sweets Box"/>
    <x v="4"/>
    <n v="7228"/>
    <x v="24"/>
    <n v="3"/>
    <n v="21684"/>
  </r>
  <r>
    <n v="1231"/>
    <n v="2004"/>
    <n v="3009"/>
    <s v="William Campbell"/>
    <n v="37"/>
    <s v="Hyderabad"/>
    <s v="Smartphone"/>
    <x v="3"/>
    <n v="4952"/>
    <x v="37"/>
    <n v="3"/>
    <n v="14856"/>
  </r>
  <r>
    <n v="1007"/>
    <n v="2024"/>
    <n v="3004"/>
    <s v="Daniel Quinn"/>
    <n v="40"/>
    <s v="Pune"/>
    <s v="Perfume Gift Set"/>
    <x v="0"/>
    <n v="16272"/>
    <x v="1"/>
    <n v="2"/>
    <n v="32544"/>
  </r>
  <r>
    <n v="1129"/>
    <n v="2017"/>
    <n v="3014"/>
    <s v="Christopher Wagner"/>
    <n v="60"/>
    <s v="Hyderabad"/>
    <s v="Handmade Pottery"/>
    <x v="2"/>
    <n v="8186"/>
    <x v="35"/>
    <n v="1"/>
    <n v="8186"/>
  </r>
  <r>
    <n v="1054"/>
    <n v="2017"/>
    <n v="3014"/>
    <s v="William Hamilton"/>
    <n v="20"/>
    <s v="Bangalore"/>
    <s v="Handmade Pottery"/>
    <x v="2"/>
    <n v="8186"/>
    <x v="10"/>
    <n v="3"/>
    <n v="24558"/>
  </r>
  <r>
    <n v="1104"/>
    <n v="2011"/>
    <n v="3032"/>
    <s v="Gabriel Mcdonald"/>
    <n v="50"/>
    <s v="Hyderabad"/>
    <s v="Festive Thali"/>
    <x v="5"/>
    <n v="7481"/>
    <x v="28"/>
    <n v="1"/>
    <n v="7481"/>
  </r>
  <r>
    <n v="1169"/>
    <n v="2008"/>
    <n v="3029"/>
    <s v="Antonio Mora"/>
    <n v="37"/>
    <s v="Delhi"/>
    <s v="Earthen Diyas"/>
    <x v="2"/>
    <n v="2136"/>
    <x v="14"/>
    <n v="3"/>
    <n v="6408"/>
  </r>
  <r>
    <n v="1207"/>
    <n v="2024"/>
    <n v="3035"/>
    <s v="Jeffrey Curtis"/>
    <n v="26"/>
    <s v="Mumbai"/>
    <s v="Perfume Gift Set"/>
    <x v="0"/>
    <n v="16272"/>
    <x v="26"/>
    <n v="1"/>
    <n v="16272"/>
  </r>
  <r>
    <n v="1137"/>
    <n v="2010"/>
    <n v="3016"/>
    <s v="Karen Perez"/>
    <n v="61"/>
    <s v="Mumbai"/>
    <s v="Chocolate Box"/>
    <x v="4"/>
    <n v="17909"/>
    <x v="30"/>
    <n v="4"/>
    <n v="71636"/>
  </r>
  <r>
    <n v="1162"/>
    <n v="2010"/>
    <n v="3025"/>
    <s v="Jamie Jarvis"/>
    <n v="38"/>
    <s v="Kolkata"/>
    <s v="Chocolate Box"/>
    <x v="4"/>
    <n v="17909"/>
    <x v="39"/>
    <n v="5"/>
    <n v="89545"/>
  </r>
  <r>
    <n v="1134"/>
    <n v="2003"/>
    <n v="3007"/>
    <s v="Bobby Neal"/>
    <n v="61"/>
    <s v="Kolkata"/>
    <s v="Kurta"/>
    <x v="1"/>
    <n v="13241"/>
    <x v="2"/>
    <n v="1"/>
    <n v="13241"/>
  </r>
  <r>
    <n v="1111"/>
    <n v="2016"/>
    <n v="3017"/>
    <s v="Steven Jones"/>
    <n v="42"/>
    <s v="Delhi"/>
    <s v="Fairy Lights"/>
    <x v="2"/>
    <n v="12242"/>
    <x v="35"/>
    <n v="2"/>
    <n v="24484"/>
  </r>
  <r>
    <n v="1141"/>
    <n v="2022"/>
    <n v="3018"/>
    <s v="Pamela Smith"/>
    <n v="40"/>
    <s v="Bangalore"/>
    <s v="Home Decor Statue"/>
    <x v="2"/>
    <n v="17149"/>
    <x v="34"/>
    <n v="5"/>
    <n v="85745"/>
  </r>
  <r>
    <n v="1041"/>
    <n v="2021"/>
    <n v="3002"/>
    <s v="Vincent Hale"/>
    <n v="31"/>
    <s v="Delhi"/>
    <s v="Smartwatch"/>
    <x v="3"/>
    <n v="17586"/>
    <x v="4"/>
    <n v="2"/>
    <n v="35172"/>
  </r>
  <r>
    <n v="1145"/>
    <n v="2010"/>
    <n v="3011"/>
    <s v="Valerie Love"/>
    <n v="51"/>
    <s v="Mumbai"/>
    <s v="Chocolate Box"/>
    <x v="4"/>
    <n v="17909"/>
    <x v="13"/>
    <n v="3"/>
    <n v="53727"/>
  </r>
  <r>
    <n v="1150"/>
    <n v="2021"/>
    <n v="3019"/>
    <s v="Angelica Davis"/>
    <n v="18"/>
    <s v="Bangalore"/>
    <s v="Smartwatch"/>
    <x v="3"/>
    <n v="17586"/>
    <x v="10"/>
    <n v="3"/>
    <n v="52758"/>
  </r>
  <r>
    <n v="1236"/>
    <n v="2023"/>
    <n v="3028"/>
    <s v="Kimberly Clay"/>
    <n v="60"/>
    <s v="Delhi"/>
    <s v="Kids Wear"/>
    <x v="1"/>
    <n v="4794"/>
    <x v="15"/>
    <n v="3"/>
    <n v="14382"/>
  </r>
  <r>
    <n v="1213"/>
    <n v="2012"/>
    <n v="3034"/>
    <s v="Michael Compton"/>
    <n v="55"/>
    <s v="Mumbai"/>
    <s v="Wall Hanging"/>
    <x v="2"/>
    <n v="11867"/>
    <x v="3"/>
    <n v="1"/>
    <n v="11867"/>
  </r>
  <r>
    <n v="1110"/>
    <n v="2018"/>
    <n v="3030"/>
    <s v="Michelle Hardin"/>
    <n v="64"/>
    <s v="Delhi"/>
    <s v="Dry Fruits Pack"/>
    <x v="4"/>
    <n v="7243"/>
    <x v="18"/>
    <n v="3"/>
    <n v="21729"/>
  </r>
  <r>
    <n v="1068"/>
    <n v="2025"/>
    <n v="3035"/>
    <s v="Tiffany Brown"/>
    <n v="44"/>
    <s v="Mumbai"/>
    <s v="Handbag"/>
    <x v="0"/>
    <n v="17019"/>
    <x v="32"/>
    <n v="2"/>
    <n v="34038"/>
  </r>
  <r>
    <n v="1225"/>
    <n v="2020"/>
    <n v="3029"/>
    <s v="Robert Perez"/>
    <n v="39"/>
    <s v="Chennai"/>
    <s v="Ethnic Jewelry"/>
    <x v="7"/>
    <n v="4495"/>
    <x v="36"/>
    <n v="5"/>
    <n v="22475"/>
  </r>
  <r>
    <n v="1300"/>
    <n v="2009"/>
    <n v="3021"/>
    <s v="Shelly Marsh"/>
    <n v="24"/>
    <s v="Pune"/>
    <s v="Bluetooth Speaker"/>
    <x v="3"/>
    <n v="11047"/>
    <x v="36"/>
    <n v="2"/>
    <n v="22094"/>
  </r>
  <r>
    <n v="1171"/>
    <n v="2010"/>
    <n v="3002"/>
    <s v="Brandon Graves"/>
    <n v="43"/>
    <s v="Delhi"/>
    <s v="Chocolate Box"/>
    <x v="4"/>
    <n v="17909"/>
    <x v="40"/>
    <n v="1"/>
    <n v="17909"/>
  </r>
  <r>
    <n v="1253"/>
    <n v="2007"/>
    <n v="3019"/>
    <s v="Javier Lewis"/>
    <n v="40"/>
    <s v="Bangalore"/>
    <s v="Gift Hamper"/>
    <x v="4"/>
    <n v="3412"/>
    <x v="2"/>
    <n v="4"/>
    <n v="13648"/>
  </r>
  <r>
    <n v="1068"/>
    <n v="2018"/>
    <n v="3010"/>
    <s v="Tiffany Brown"/>
    <n v="44"/>
    <s v="Mumbai"/>
    <s v="Dry Fruits Pack"/>
    <x v="4"/>
    <n v="7243"/>
    <x v="32"/>
    <n v="2"/>
    <n v="14486"/>
  </r>
  <r>
    <n v="1139"/>
    <n v="2024"/>
    <n v="3024"/>
    <s v="Jeremy Barnes"/>
    <n v="46"/>
    <s v="Delhi"/>
    <s v="Perfume Gift Set"/>
    <x v="0"/>
    <n v="16272"/>
    <x v="17"/>
    <n v="5"/>
    <n v="81360"/>
  </r>
  <r>
    <n v="1185"/>
    <n v="2021"/>
    <n v="3005"/>
    <s v="Patrick Osborn"/>
    <n v="52"/>
    <s v="Mumbai"/>
    <s v="Smartwatch"/>
    <x v="3"/>
    <n v="17586"/>
    <x v="14"/>
    <n v="4"/>
    <n v="70344"/>
  </r>
  <r>
    <n v="1147"/>
    <n v="2005"/>
    <n v="3002"/>
    <s v="Edward Greene"/>
    <n v="58"/>
    <s v="Hyderabad"/>
    <s v="LED Lamp"/>
    <x v="2"/>
    <n v="3828"/>
    <x v="29"/>
    <n v="1"/>
    <n v="3828"/>
  </r>
  <r>
    <n v="1056"/>
    <n v="2009"/>
    <n v="3010"/>
    <s v="Katie King"/>
    <n v="58"/>
    <s v="Hyderabad"/>
    <s v="Bluetooth Speaker"/>
    <x v="3"/>
    <n v="11047"/>
    <x v="4"/>
    <n v="3"/>
    <n v="33141"/>
  </r>
  <r>
    <n v="1096"/>
    <n v="2002"/>
    <n v="3012"/>
    <s v="Morgan Webb"/>
    <n v="60"/>
    <s v="Mumbai"/>
    <s v="Saree"/>
    <x v="1"/>
    <n v="9534"/>
    <x v="40"/>
    <n v="4"/>
    <n v="38136"/>
  </r>
  <r>
    <n v="1134"/>
    <n v="2004"/>
    <n v="3027"/>
    <s v="Bobby Neal"/>
    <n v="61"/>
    <s v="Kolkata"/>
    <s v="Smartphone"/>
    <x v="3"/>
    <n v="4952"/>
    <x v="2"/>
    <n v="1"/>
    <n v="4952"/>
  </r>
  <r>
    <n v="1232"/>
    <n v="2007"/>
    <n v="3008"/>
    <s v="Joshua Craig"/>
    <n v="29"/>
    <s v="Pune"/>
    <s v="Gift Hamper"/>
    <x v="4"/>
    <n v="3412"/>
    <x v="35"/>
    <n v="1"/>
    <n v="3412"/>
  </r>
  <r>
    <n v="1269"/>
    <n v="2017"/>
    <n v="3006"/>
    <s v="Anne Harris"/>
    <n v="33"/>
    <s v="Kolkata"/>
    <s v="Handmade Pottery"/>
    <x v="2"/>
    <n v="8186"/>
    <x v="19"/>
    <n v="5"/>
    <n v="40930"/>
  </r>
  <r>
    <n v="1050"/>
    <n v="2016"/>
    <n v="3029"/>
    <s v="Ronald Gonzalez"/>
    <n v="46"/>
    <s v="Chennai"/>
    <s v="Fairy Lights"/>
    <x v="2"/>
    <n v="12242"/>
    <x v="33"/>
    <n v="4"/>
    <n v="48968"/>
  </r>
  <r>
    <n v="1257"/>
    <n v="2010"/>
    <n v="3026"/>
    <s v="Eric Terry"/>
    <n v="57"/>
    <s v="Delhi"/>
    <s v="Chocolate Box"/>
    <x v="4"/>
    <n v="17909"/>
    <x v="18"/>
    <n v="4"/>
    <n v="71636"/>
  </r>
  <r>
    <n v="1189"/>
    <n v="2010"/>
    <n v="3017"/>
    <s v="Kaitlyn Hickman"/>
    <n v="21"/>
    <s v="Delhi"/>
    <s v="Chocolate Box"/>
    <x v="4"/>
    <n v="17909"/>
    <x v="30"/>
    <n v="2"/>
    <n v="35818"/>
  </r>
  <r>
    <n v="1018"/>
    <n v="2001"/>
    <n v="3008"/>
    <s v="Mariah Kim"/>
    <n v="34"/>
    <s v="Mumbai"/>
    <s v="Sweets Box"/>
    <x v="4"/>
    <n v="7228"/>
    <x v="13"/>
    <n v="1"/>
    <n v="7228"/>
  </r>
  <r>
    <n v="1096"/>
    <n v="2019"/>
    <n v="3031"/>
    <s v="Morgan Webb"/>
    <n v="60"/>
    <s v="Mumbai"/>
    <s v="Designer Kurti"/>
    <x v="1"/>
    <n v="13620"/>
    <x v="40"/>
    <n v="4"/>
    <n v="54480"/>
  </r>
  <r>
    <n v="1207"/>
    <n v="2025"/>
    <n v="3003"/>
    <s v="Jeffrey Curtis"/>
    <n v="26"/>
    <s v="Mumbai"/>
    <s v="Handbag"/>
    <x v="0"/>
    <n v="17019"/>
    <x v="26"/>
    <n v="1"/>
    <n v="17019"/>
  </r>
  <r>
    <n v="1068"/>
    <n v="2025"/>
    <n v="3024"/>
    <s v="Tiffany Brown"/>
    <n v="44"/>
    <s v="Mumbai"/>
    <s v="Handbag"/>
    <x v="0"/>
    <n v="17019"/>
    <x v="32"/>
    <n v="2"/>
    <n v="34038"/>
  </r>
  <r>
    <n v="1232"/>
    <n v="2014"/>
    <n v="3015"/>
    <s v="Joshua Craig"/>
    <n v="29"/>
    <s v="Pune"/>
    <s v="Gold Coin"/>
    <x v="7"/>
    <n v="13823"/>
    <x v="35"/>
    <n v="1"/>
    <n v="13823"/>
  </r>
  <r>
    <n v="1146"/>
    <n v="2009"/>
    <n v="3004"/>
    <s v="Angela Martin"/>
    <n v="61"/>
    <s v="Bangalore"/>
    <s v="Bluetooth Speaker"/>
    <x v="3"/>
    <n v="11047"/>
    <x v="17"/>
    <n v="1"/>
    <n v="11047"/>
  </r>
  <r>
    <n v="1225"/>
    <n v="2020"/>
    <n v="3011"/>
    <s v="Robert Perez"/>
    <n v="39"/>
    <s v="Chennai"/>
    <s v="Ethnic Jewelry"/>
    <x v="7"/>
    <n v="4495"/>
    <x v="36"/>
    <n v="5"/>
    <n v="22475"/>
  </r>
  <r>
    <n v="1135"/>
    <n v="2010"/>
    <n v="3019"/>
    <s v="Curtis Gonzales"/>
    <n v="47"/>
    <s v="Bangalore"/>
    <s v="Chocolate Box"/>
    <x v="4"/>
    <n v="17909"/>
    <x v="23"/>
    <n v="5"/>
    <n v="89545"/>
  </r>
  <r>
    <n v="1279"/>
    <n v="2017"/>
    <n v="3014"/>
    <s v="Erin Mann"/>
    <n v="52"/>
    <s v="Delhi"/>
    <s v="Handmade Pottery"/>
    <x v="2"/>
    <n v="8186"/>
    <x v="16"/>
    <n v="5"/>
    <n v="40930"/>
  </r>
  <r>
    <n v="1002"/>
    <n v="2021"/>
    <n v="3029"/>
    <s v="Scott Chen"/>
    <n v="21"/>
    <s v="Mumbai"/>
    <s v="Smartwatch"/>
    <x v="3"/>
    <n v="17586"/>
    <x v="15"/>
    <n v="5"/>
    <n v="87930"/>
  </r>
  <r>
    <n v="1165"/>
    <n v="2009"/>
    <n v="3035"/>
    <s v="Amanda Carter"/>
    <n v="38"/>
    <s v="Kolkata"/>
    <s v="Bluetooth Speaker"/>
    <x v="3"/>
    <n v="11047"/>
    <x v="2"/>
    <n v="4"/>
    <n v="44188"/>
  </r>
  <r>
    <n v="1018"/>
    <n v="2018"/>
    <n v="3023"/>
    <s v="Mariah Kim"/>
    <n v="34"/>
    <s v="Mumbai"/>
    <s v="Dry Fruits Pack"/>
    <x v="4"/>
    <n v="7243"/>
    <x v="13"/>
    <n v="1"/>
    <n v="7243"/>
  </r>
  <r>
    <n v="1225"/>
    <n v="2019"/>
    <n v="3024"/>
    <s v="Robert Perez"/>
    <n v="39"/>
    <s v="Chennai"/>
    <s v="Designer Kurti"/>
    <x v="1"/>
    <n v="13620"/>
    <x v="36"/>
    <n v="5"/>
    <n v="68100"/>
  </r>
  <r>
    <n v="1258"/>
    <n v="2020"/>
    <n v="3034"/>
    <s v="Corey Lewis"/>
    <n v="39"/>
    <s v="Delhi"/>
    <s v="Ethnic Jewelry"/>
    <x v="7"/>
    <n v="4495"/>
    <x v="30"/>
    <n v="2"/>
    <n v="8990"/>
  </r>
  <r>
    <n v="1162"/>
    <n v="2025"/>
    <n v="3027"/>
    <s v="Jamie Jarvis"/>
    <n v="38"/>
    <s v="Kolkata"/>
    <s v="Handbag"/>
    <x v="0"/>
    <n v="17019"/>
    <x v="39"/>
    <n v="5"/>
    <n v="85095"/>
  </r>
  <r>
    <n v="1035"/>
    <n v="2012"/>
    <n v="3024"/>
    <s v="Debra Robinson"/>
    <n v="39"/>
    <s v="Bangalore"/>
    <s v="Wall Hanging"/>
    <x v="2"/>
    <n v="11867"/>
    <x v="13"/>
    <n v="4"/>
    <n v="47468"/>
  </r>
  <r>
    <n v="1210"/>
    <n v="2001"/>
    <n v="3029"/>
    <s v="Laura Wong"/>
    <n v="55"/>
    <s v="Delhi"/>
    <s v="Sweets Box"/>
    <x v="4"/>
    <n v="7228"/>
    <x v="5"/>
    <n v="2"/>
    <n v="14456"/>
  </r>
  <r>
    <n v="1098"/>
    <n v="2015"/>
    <n v="3004"/>
    <s v="Jennifer Taylor"/>
    <n v="50"/>
    <s v="Delhi"/>
    <s v="Candle Set"/>
    <x v="2"/>
    <n v="17604"/>
    <x v="32"/>
    <n v="4"/>
    <n v="70416"/>
  </r>
  <r>
    <n v="1006"/>
    <n v="2025"/>
    <n v="3020"/>
    <s v="Melissa Peterson"/>
    <n v="49"/>
    <s v="Delhi"/>
    <s v="Handbag"/>
    <x v="0"/>
    <n v="17019"/>
    <x v="30"/>
    <n v="4"/>
    <n v="68076"/>
  </r>
  <r>
    <n v="1012"/>
    <n v="2023"/>
    <n v="3026"/>
    <s v="John Dunlap"/>
    <n v="52"/>
    <s v="Delhi"/>
    <s v="Kids Wear"/>
    <x v="1"/>
    <n v="4794"/>
    <x v="10"/>
    <n v="2"/>
    <n v="9588"/>
  </r>
  <r>
    <n v="1019"/>
    <n v="2007"/>
    <n v="3007"/>
    <s v="Brenda Dunn"/>
    <n v="23"/>
    <s v="Pune"/>
    <s v="Gift Hamper"/>
    <x v="4"/>
    <n v="3412"/>
    <x v="19"/>
    <n v="3"/>
    <n v="10236"/>
  </r>
  <r>
    <n v="1104"/>
    <n v="2019"/>
    <n v="3004"/>
    <s v="Gabriel Mcdonald"/>
    <n v="50"/>
    <s v="Hyderabad"/>
    <s v="Designer Kurti"/>
    <x v="1"/>
    <n v="13620"/>
    <x v="28"/>
    <n v="1"/>
    <n v="13620"/>
  </r>
  <r>
    <n v="1191"/>
    <n v="2021"/>
    <n v="3018"/>
    <s v="Rebekah Caldwell"/>
    <n v="64"/>
    <s v="Pune"/>
    <s v="Smartwatch"/>
    <x v="3"/>
    <n v="17586"/>
    <x v="33"/>
    <n v="4"/>
    <n v="70344"/>
  </r>
  <r>
    <n v="1163"/>
    <n v="2002"/>
    <n v="3019"/>
    <s v="Amy Hernandez"/>
    <n v="18"/>
    <s v="Chennai"/>
    <s v="Saree"/>
    <x v="1"/>
    <n v="9534"/>
    <x v="28"/>
    <n v="4"/>
    <n v="38136"/>
  </r>
  <r>
    <n v="1198"/>
    <n v="2016"/>
    <n v="3033"/>
    <s v="Eric Lopez"/>
    <n v="60"/>
    <s v="Bangalore"/>
    <s v="Fairy Lights"/>
    <x v="2"/>
    <n v="12242"/>
    <x v="21"/>
    <n v="1"/>
    <n v="12242"/>
  </r>
  <r>
    <n v="1278"/>
    <n v="2012"/>
    <n v="3032"/>
    <s v="Jessica Coleman"/>
    <n v="21"/>
    <s v="Kolkata"/>
    <s v="Wall Hanging"/>
    <x v="2"/>
    <n v="11867"/>
    <x v="9"/>
    <n v="3"/>
    <n v="35601"/>
  </r>
  <r>
    <n v="1238"/>
    <n v="2008"/>
    <n v="3021"/>
    <s v="Steven Hogan"/>
    <n v="46"/>
    <s v="Chennai"/>
    <s v="Earthen Diyas"/>
    <x v="2"/>
    <n v="2136"/>
    <x v="38"/>
    <n v="3"/>
    <n v="6408"/>
  </r>
  <r>
    <n v="1197"/>
    <n v="2008"/>
    <n v="3006"/>
    <s v="Daniel Price"/>
    <n v="25"/>
    <s v="Kolkata"/>
    <s v="Earthen Diyas"/>
    <x v="2"/>
    <n v="2136"/>
    <x v="2"/>
    <n v="5"/>
    <n v="10680"/>
  </r>
  <r>
    <n v="1233"/>
    <n v="2023"/>
    <n v="3015"/>
    <s v="Matthew Jennings"/>
    <n v="65"/>
    <s v="Bangalore"/>
    <s v="Kids Wear"/>
    <x v="1"/>
    <n v="4794"/>
    <x v="1"/>
    <n v="3"/>
    <n v="14382"/>
  </r>
  <r>
    <n v="1050"/>
    <n v="2013"/>
    <n v="3009"/>
    <s v="Ronald Gonzalez"/>
    <n v="46"/>
    <s v="Chennai"/>
    <s v="Silver Coin"/>
    <x v="7"/>
    <n v="11845"/>
    <x v="33"/>
    <n v="4"/>
    <n v="47380"/>
  </r>
  <r>
    <n v="1066"/>
    <n v="2003"/>
    <n v="3004"/>
    <s v="Susan Green"/>
    <n v="38"/>
    <s v="Delhi"/>
    <s v="Kurta"/>
    <x v="1"/>
    <n v="13241"/>
    <x v="37"/>
    <n v="1"/>
    <n v="13241"/>
  </r>
  <r>
    <n v="1136"/>
    <n v="2017"/>
    <n v="3008"/>
    <s v="Brooke Oliver"/>
    <n v="30"/>
    <s v="Chennai"/>
    <s v="Handmade Pottery"/>
    <x v="2"/>
    <n v="8186"/>
    <x v="0"/>
    <n v="4"/>
    <n v="32744"/>
  </r>
  <r>
    <n v="1046"/>
    <n v="2008"/>
    <n v="3002"/>
    <s v="Leslie Little"/>
    <n v="34"/>
    <s v="Chennai"/>
    <s v="Earthen Diyas"/>
    <x v="2"/>
    <n v="2136"/>
    <x v="13"/>
    <n v="5"/>
    <n v="10680"/>
  </r>
  <r>
    <n v="1121"/>
    <n v="2014"/>
    <n v="3030"/>
    <s v="Vincent Fuller"/>
    <n v="25"/>
    <s v="Delhi"/>
    <s v="Gold Coin"/>
    <x v="7"/>
    <n v="13823"/>
    <x v="41"/>
    <n v="2"/>
    <n v="27646"/>
  </r>
  <r>
    <n v="1186"/>
    <n v="2024"/>
    <n v="3016"/>
    <s v="Molly Hansen"/>
    <n v="50"/>
    <s v="Chennai"/>
    <s v="Perfume Gift Set"/>
    <x v="0"/>
    <n v="16272"/>
    <x v="12"/>
    <n v="5"/>
    <n v="81360"/>
  </r>
  <r>
    <n v="1112"/>
    <n v="2011"/>
    <n v="3015"/>
    <s v="Ashley Lane"/>
    <n v="39"/>
    <s v="Bangalore"/>
    <s v="Festive Thali"/>
    <x v="5"/>
    <n v="7481"/>
    <x v="41"/>
    <n v="4"/>
    <n v="29924"/>
  </r>
  <r>
    <n v="1026"/>
    <n v="2004"/>
    <n v="3027"/>
    <s v="Joshua Clark"/>
    <n v="46"/>
    <s v="Mumbai"/>
    <s v="Smartphone"/>
    <x v="3"/>
    <n v="4952"/>
    <x v="16"/>
    <n v="1"/>
    <n v="4952"/>
  </r>
  <r>
    <n v="1193"/>
    <n v="2012"/>
    <n v="3020"/>
    <s v="Margaret Schwartz"/>
    <n v="25"/>
    <s v="Mumbai"/>
    <s v="Wall Hanging"/>
    <x v="2"/>
    <n v="11867"/>
    <x v="15"/>
    <n v="5"/>
    <n v="59335"/>
  </r>
  <r>
    <n v="1141"/>
    <n v="2023"/>
    <n v="3006"/>
    <s v="Pamela Smith"/>
    <n v="40"/>
    <s v="Bangalore"/>
    <s v="Kids Wear"/>
    <x v="1"/>
    <n v="4794"/>
    <x v="34"/>
    <n v="5"/>
    <n v="23970"/>
  </r>
  <r>
    <n v="1043"/>
    <n v="2005"/>
    <n v="3030"/>
    <s v="Brenda Foster"/>
    <n v="49"/>
    <s v="Bangalore"/>
    <s v="LED Lamp"/>
    <x v="2"/>
    <n v="3828"/>
    <x v="10"/>
    <n v="2"/>
    <n v="7656"/>
  </r>
  <r>
    <n v="1175"/>
    <n v="2002"/>
    <n v="3030"/>
    <s v="Jeffrey Smith"/>
    <n v="51"/>
    <s v="Kolkata"/>
    <s v="Saree"/>
    <x v="1"/>
    <n v="9534"/>
    <x v="16"/>
    <n v="4"/>
    <n v="38136"/>
  </r>
  <r>
    <n v="1211"/>
    <n v="2025"/>
    <n v="3034"/>
    <s v="Deanna Barnes"/>
    <n v="47"/>
    <s v="Hyderabad"/>
    <s v="Handbag"/>
    <x v="0"/>
    <n v="17019"/>
    <x v="11"/>
    <n v="1"/>
    <n v="17019"/>
  </r>
  <r>
    <n v="1266"/>
    <n v="2006"/>
    <n v="3031"/>
    <s v="Kim Mckinney"/>
    <n v="48"/>
    <s v="Delhi"/>
    <s v="Crackers Pack"/>
    <x v="6"/>
    <n v="12060"/>
    <x v="12"/>
    <n v="5"/>
    <n v="60300"/>
  </r>
  <r>
    <n v="1174"/>
    <n v="2013"/>
    <n v="3016"/>
    <s v="Eric West"/>
    <n v="23"/>
    <s v="Hyderabad"/>
    <s v="Silver Coin"/>
    <x v="7"/>
    <n v="11845"/>
    <x v="20"/>
    <n v="3"/>
    <n v="35535"/>
  </r>
  <r>
    <n v="1138"/>
    <n v="2005"/>
    <n v="3011"/>
    <s v="Timothy Wells"/>
    <n v="18"/>
    <s v="Hyderabad"/>
    <s v="LED Lamp"/>
    <x v="2"/>
    <n v="3828"/>
    <x v="39"/>
    <n v="1"/>
    <n v="3828"/>
  </r>
  <r>
    <n v="1234"/>
    <n v="2015"/>
    <n v="3019"/>
    <s v="Kaitlyn Collier"/>
    <n v="55"/>
    <s v="Kolkata"/>
    <s v="Candle Set"/>
    <x v="2"/>
    <n v="17604"/>
    <x v="13"/>
    <n v="4"/>
    <n v="70416"/>
  </r>
  <r>
    <n v="1285"/>
    <n v="2010"/>
    <n v="3033"/>
    <s v="Deborah Hill"/>
    <n v="47"/>
    <s v="Delhi"/>
    <s v="Chocolate Box"/>
    <x v="4"/>
    <n v="17909"/>
    <x v="29"/>
    <n v="4"/>
    <n v="71636"/>
  </r>
  <r>
    <n v="1190"/>
    <n v="2019"/>
    <n v="3001"/>
    <s v="Mark Stanton"/>
    <n v="29"/>
    <s v="Delhi"/>
    <s v="Designer Kurti"/>
    <x v="1"/>
    <n v="13620"/>
    <x v="35"/>
    <n v="5"/>
    <n v="68100"/>
  </r>
  <r>
    <n v="1125"/>
    <n v="2020"/>
    <n v="3016"/>
    <s v="Ashley Hernandez"/>
    <n v="35"/>
    <s v="Hyderabad"/>
    <s v="Ethnic Jewelry"/>
    <x v="7"/>
    <n v="4495"/>
    <x v="7"/>
    <n v="4"/>
    <n v="17980"/>
  </r>
  <r>
    <n v="1116"/>
    <n v="2022"/>
    <n v="3012"/>
    <s v="Connie Rogers"/>
    <n v="33"/>
    <s v="Mumbai"/>
    <s v="Home Decor Statue"/>
    <x v="2"/>
    <n v="17149"/>
    <x v="39"/>
    <n v="5"/>
    <n v="85745"/>
  </r>
  <r>
    <n v="1083"/>
    <n v="2004"/>
    <n v="3011"/>
    <s v="James Barrera"/>
    <n v="31"/>
    <s v="Pune"/>
    <s v="Smartphone"/>
    <x v="3"/>
    <n v="4952"/>
    <x v="1"/>
    <n v="4"/>
    <n v="19808"/>
  </r>
  <r>
    <n v="1002"/>
    <n v="2024"/>
    <n v="3026"/>
    <s v="Scott Chen"/>
    <n v="21"/>
    <s v="Mumbai"/>
    <s v="Perfume Gift Set"/>
    <x v="0"/>
    <n v="16272"/>
    <x v="15"/>
    <n v="5"/>
    <n v="81360"/>
  </r>
  <r>
    <n v="1224"/>
    <n v="2004"/>
    <n v="3012"/>
    <s v="Joseph Garrett"/>
    <n v="58"/>
    <s v="Pune"/>
    <s v="Smartphone"/>
    <x v="3"/>
    <n v="4952"/>
    <x v="35"/>
    <n v="2"/>
    <n v="9904"/>
  </r>
  <r>
    <n v="1288"/>
    <n v="2021"/>
    <n v="3021"/>
    <s v="Heather Holland"/>
    <n v="25"/>
    <s v="Hyderabad"/>
    <s v="Smartwatch"/>
    <x v="3"/>
    <n v="17586"/>
    <x v="28"/>
    <n v="4"/>
    <n v="70344"/>
  </r>
  <r>
    <n v="1110"/>
    <n v="2004"/>
    <n v="3020"/>
    <s v="Michelle Hardin"/>
    <n v="64"/>
    <s v="Delhi"/>
    <s v="Smartphone"/>
    <x v="3"/>
    <n v="4952"/>
    <x v="18"/>
    <n v="3"/>
    <n v="14856"/>
  </r>
  <r>
    <n v="1271"/>
    <n v="2018"/>
    <n v="3017"/>
    <s v="Alicia Bailey"/>
    <n v="41"/>
    <s v="Bangalore"/>
    <s v="Dry Fruits Pack"/>
    <x v="4"/>
    <n v="7243"/>
    <x v="28"/>
    <n v="2"/>
    <n v="14486"/>
  </r>
  <r>
    <n v="1135"/>
    <n v="2002"/>
    <n v="3013"/>
    <s v="Curtis Gonzales"/>
    <n v="47"/>
    <s v="Bangalore"/>
    <s v="Saree"/>
    <x v="1"/>
    <n v="9534"/>
    <x v="23"/>
    <n v="5"/>
    <n v="47670"/>
  </r>
  <r>
    <n v="1072"/>
    <n v="2013"/>
    <n v="3009"/>
    <s v="Michael Torres"/>
    <n v="29"/>
    <s v="Delhi"/>
    <s v="Silver Coin"/>
    <x v="7"/>
    <n v="11845"/>
    <x v="37"/>
    <n v="2"/>
    <n v="23690"/>
  </r>
  <r>
    <n v="1170"/>
    <n v="2025"/>
    <n v="3026"/>
    <s v="Gerald Sanders"/>
    <n v="52"/>
    <s v="Kolkata"/>
    <s v="Handbag"/>
    <x v="0"/>
    <n v="17019"/>
    <x v="5"/>
    <n v="4"/>
    <n v="68076"/>
  </r>
  <r>
    <n v="1228"/>
    <n v="2006"/>
    <n v="3001"/>
    <s v="Ian Kemp"/>
    <n v="42"/>
    <s v="Kolkata"/>
    <s v="Crackers Pack"/>
    <x v="6"/>
    <n v="12060"/>
    <x v="37"/>
    <n v="4"/>
    <n v="48240"/>
  </r>
  <r>
    <n v="1173"/>
    <n v="2002"/>
    <n v="3030"/>
    <s v="Emily Martin"/>
    <n v="51"/>
    <s v="Chennai"/>
    <s v="Saree"/>
    <x v="1"/>
    <n v="9534"/>
    <x v="12"/>
    <n v="4"/>
    <n v="38136"/>
  </r>
  <r>
    <n v="1234"/>
    <n v="2016"/>
    <n v="3013"/>
    <s v="Kaitlyn Collier"/>
    <n v="55"/>
    <s v="Kolkata"/>
    <s v="Fairy Lights"/>
    <x v="2"/>
    <n v="12242"/>
    <x v="13"/>
    <n v="4"/>
    <n v="48968"/>
  </r>
  <r>
    <n v="1239"/>
    <n v="2023"/>
    <n v="3016"/>
    <s v="Robert Burton"/>
    <n v="32"/>
    <s v="Chennai"/>
    <s v="Kids Wear"/>
    <x v="1"/>
    <n v="4794"/>
    <x v="6"/>
    <n v="5"/>
    <n v="23970"/>
  </r>
  <r>
    <n v="1034"/>
    <n v="2006"/>
    <n v="3025"/>
    <s v="Pamela Watson"/>
    <n v="25"/>
    <s v="Kolkata"/>
    <s v="Crackers Pack"/>
    <x v="6"/>
    <n v="12060"/>
    <x v="29"/>
    <n v="1"/>
    <n v="12060"/>
  </r>
  <r>
    <n v="1156"/>
    <n v="2022"/>
    <n v="3008"/>
    <s v="Matthew Frazier"/>
    <n v="65"/>
    <s v="Bangalore"/>
    <s v="Home Decor Statue"/>
    <x v="2"/>
    <n v="17149"/>
    <x v="26"/>
    <n v="1"/>
    <n v="17149"/>
  </r>
  <r>
    <n v="1195"/>
    <n v="2003"/>
    <n v="3003"/>
    <s v="Brianna Robertson"/>
    <n v="50"/>
    <s v="Kolkata"/>
    <s v="Kurta"/>
    <x v="1"/>
    <n v="13241"/>
    <x v="7"/>
    <n v="4"/>
    <n v="52964"/>
  </r>
  <r>
    <n v="1087"/>
    <n v="2024"/>
    <n v="3025"/>
    <s v="Jared Romero"/>
    <n v="26"/>
    <s v="Hyderabad"/>
    <s v="Perfume Gift Set"/>
    <x v="0"/>
    <n v="16272"/>
    <x v="10"/>
    <n v="5"/>
    <n v="81360"/>
  </r>
  <r>
    <n v="1084"/>
    <n v="2007"/>
    <n v="3030"/>
    <s v="Sharon Baker"/>
    <n v="48"/>
    <s v="Chennai"/>
    <s v="Gift Hamper"/>
    <x v="4"/>
    <n v="3412"/>
    <x v="9"/>
    <n v="2"/>
    <n v="6824"/>
  </r>
  <r>
    <n v="1107"/>
    <n v="2011"/>
    <n v="3005"/>
    <s v="Crystal Wilson"/>
    <n v="53"/>
    <s v="Hyderabad"/>
    <s v="Festive Thali"/>
    <x v="5"/>
    <n v="7481"/>
    <x v="30"/>
    <n v="2"/>
    <n v="14962"/>
  </r>
  <r>
    <n v="1143"/>
    <n v="2024"/>
    <n v="3006"/>
    <s v="Corey Kidd"/>
    <n v="58"/>
    <s v="Hyderabad"/>
    <s v="Perfume Gift Set"/>
    <x v="0"/>
    <n v="16272"/>
    <x v="1"/>
    <n v="5"/>
    <n v="81360"/>
  </r>
  <r>
    <n v="1011"/>
    <n v="2009"/>
    <n v="3027"/>
    <s v="Lindsey West"/>
    <n v="19"/>
    <s v="Hyderabad"/>
    <s v="Bluetooth Speaker"/>
    <x v="3"/>
    <n v="11047"/>
    <x v="21"/>
    <n v="3"/>
    <n v="33141"/>
  </r>
  <r>
    <n v="1138"/>
    <n v="2023"/>
    <n v="3014"/>
    <s v="Timothy Wells"/>
    <n v="18"/>
    <s v="Hyderabad"/>
    <s v="Kids Wear"/>
    <x v="1"/>
    <n v="4794"/>
    <x v="39"/>
    <n v="1"/>
    <n v="4794"/>
  </r>
  <r>
    <n v="1204"/>
    <n v="2023"/>
    <n v="3028"/>
    <s v="William Freeman"/>
    <n v="49"/>
    <s v="Mumbai"/>
    <s v="Kids Wear"/>
    <x v="1"/>
    <n v="4794"/>
    <x v="24"/>
    <n v="3"/>
    <n v="14382"/>
  </r>
  <r>
    <n v="1207"/>
    <n v="2007"/>
    <n v="3030"/>
    <s v="Jeffrey Curtis"/>
    <n v="26"/>
    <s v="Mumbai"/>
    <s v="Gift Hamper"/>
    <x v="4"/>
    <n v="3412"/>
    <x v="26"/>
    <n v="1"/>
    <n v="3412"/>
  </r>
  <r>
    <n v="1265"/>
    <n v="2008"/>
    <n v="3004"/>
    <s v="Cynthia Chen"/>
    <n v="30"/>
    <s v="Mumbai"/>
    <s v="Earthen Diyas"/>
    <x v="2"/>
    <n v="2136"/>
    <x v="38"/>
    <n v="2"/>
    <n v="4272"/>
  </r>
  <r>
    <n v="1171"/>
    <n v="2015"/>
    <n v="3031"/>
    <s v="Brandon Graves"/>
    <n v="43"/>
    <s v="Delhi"/>
    <s v="Candle Set"/>
    <x v="2"/>
    <n v="17604"/>
    <x v="40"/>
    <n v="1"/>
    <n v="17604"/>
  </r>
  <r>
    <n v="1263"/>
    <n v="2017"/>
    <n v="3001"/>
    <s v="Jordan Smith"/>
    <n v="38"/>
    <s v="Kolkata"/>
    <s v="Handmade Pottery"/>
    <x v="2"/>
    <n v="8186"/>
    <x v="20"/>
    <n v="1"/>
    <n v="8186"/>
  </r>
  <r>
    <n v="1286"/>
    <n v="2001"/>
    <n v="3017"/>
    <s v="Anthony Taylor"/>
    <n v="33"/>
    <s v="Mumbai"/>
    <s v="Sweets Box"/>
    <x v="4"/>
    <n v="7228"/>
    <x v="27"/>
    <n v="1"/>
    <n v="7228"/>
  </r>
  <r>
    <n v="1053"/>
    <n v="2011"/>
    <n v="3033"/>
    <s v="Brandon Martin"/>
    <n v="52"/>
    <s v="Kolkata"/>
    <s v="Festive Thali"/>
    <x v="5"/>
    <n v="7481"/>
    <x v="12"/>
    <n v="3"/>
    <n v="22443"/>
  </r>
  <r>
    <n v="1257"/>
    <n v="2004"/>
    <n v="3002"/>
    <s v="Eric Terry"/>
    <n v="57"/>
    <s v="Delhi"/>
    <s v="Smartphone"/>
    <x v="3"/>
    <n v="4952"/>
    <x v="18"/>
    <n v="4"/>
    <n v="19808"/>
  </r>
  <r>
    <n v="1197"/>
    <n v="2004"/>
    <n v="3010"/>
    <s v="Daniel Price"/>
    <n v="25"/>
    <s v="Kolkata"/>
    <s v="Smartphone"/>
    <x v="3"/>
    <n v="4952"/>
    <x v="2"/>
    <n v="5"/>
    <n v="24760"/>
  </r>
  <r>
    <n v="1123"/>
    <n v="2023"/>
    <n v="3030"/>
    <s v="Luis Long"/>
    <n v="53"/>
    <s v="Chennai"/>
    <s v="Kids Wear"/>
    <x v="1"/>
    <n v="4794"/>
    <x v="14"/>
    <n v="5"/>
    <n v="23970"/>
  </r>
  <r>
    <n v="1013"/>
    <n v="2023"/>
    <n v="3009"/>
    <s v="Tara Richardson"/>
    <n v="44"/>
    <s v="Mumbai"/>
    <s v="Kids Wear"/>
    <x v="1"/>
    <n v="4794"/>
    <x v="35"/>
    <n v="4"/>
    <n v="19176"/>
  </r>
  <r>
    <n v="1020"/>
    <n v="2001"/>
    <n v="3028"/>
    <s v="Mallory Jackson"/>
    <n v="60"/>
    <s v="Kolkata"/>
    <s v="Sweets Box"/>
    <x v="4"/>
    <n v="7228"/>
    <x v="13"/>
    <n v="4"/>
    <n v="28912"/>
  </r>
  <r>
    <n v="1191"/>
    <n v="2004"/>
    <n v="3010"/>
    <s v="Rebekah Caldwell"/>
    <n v="64"/>
    <s v="Pune"/>
    <s v="Smartphone"/>
    <x v="3"/>
    <n v="4952"/>
    <x v="33"/>
    <n v="4"/>
    <n v="19808"/>
  </r>
  <r>
    <n v="1036"/>
    <n v="2006"/>
    <n v="3013"/>
    <s v="Rebecca Harris"/>
    <n v="27"/>
    <s v="Kolkata"/>
    <s v="Crackers Pack"/>
    <x v="6"/>
    <n v="12060"/>
    <x v="4"/>
    <n v="2"/>
    <n v="24120"/>
  </r>
  <r>
    <n v="1229"/>
    <n v="2003"/>
    <n v="3007"/>
    <s v="Susan Barry"/>
    <n v="36"/>
    <s v="Pune"/>
    <s v="Kurta"/>
    <x v="1"/>
    <n v="13241"/>
    <x v="37"/>
    <n v="3"/>
    <n v="39723"/>
  </r>
  <r>
    <n v="1237"/>
    <n v="2014"/>
    <n v="3029"/>
    <s v="Oscar Diaz"/>
    <n v="49"/>
    <s v="Kolkata"/>
    <s v="Gold Coin"/>
    <x v="7"/>
    <n v="13823"/>
    <x v="3"/>
    <n v="5"/>
    <n v="69115"/>
  </r>
  <r>
    <n v="1020"/>
    <n v="2020"/>
    <n v="3034"/>
    <s v="Mallory Jackson"/>
    <n v="60"/>
    <s v="Kolkata"/>
    <s v="Ethnic Jewelry"/>
    <x v="7"/>
    <n v="4495"/>
    <x v="13"/>
    <n v="4"/>
    <n v="17980"/>
  </r>
  <r>
    <n v="1136"/>
    <n v="2022"/>
    <n v="3027"/>
    <s v="Brooke Oliver"/>
    <n v="30"/>
    <s v="Chennai"/>
    <s v="Home Decor Statue"/>
    <x v="2"/>
    <n v="17149"/>
    <x v="0"/>
    <n v="4"/>
    <n v="68596"/>
  </r>
  <r>
    <n v="1229"/>
    <n v="2012"/>
    <n v="3021"/>
    <s v="Susan Barry"/>
    <n v="36"/>
    <s v="Pune"/>
    <s v="Wall Hanging"/>
    <x v="2"/>
    <n v="11867"/>
    <x v="37"/>
    <n v="3"/>
    <n v="35601"/>
  </r>
  <r>
    <n v="1008"/>
    <n v="2010"/>
    <n v="3033"/>
    <s v="Elizabeth Woods"/>
    <n v="61"/>
    <s v="Pune"/>
    <s v="Chocolate Box"/>
    <x v="4"/>
    <n v="17909"/>
    <x v="5"/>
    <n v="2"/>
    <n v="35818"/>
  </r>
  <r>
    <n v="1059"/>
    <n v="2003"/>
    <n v="3023"/>
    <s v="Cynthia Johnson"/>
    <n v="44"/>
    <s v="Bangalore"/>
    <s v="Kurta"/>
    <x v="1"/>
    <n v="13241"/>
    <x v="2"/>
    <n v="2"/>
    <n v="26482"/>
  </r>
  <r>
    <n v="1175"/>
    <n v="2009"/>
    <n v="3027"/>
    <s v="Jeffrey Smith"/>
    <n v="51"/>
    <s v="Kolkata"/>
    <s v="Bluetooth Speaker"/>
    <x v="3"/>
    <n v="11047"/>
    <x v="16"/>
    <n v="4"/>
    <n v="44188"/>
  </r>
  <r>
    <n v="1235"/>
    <n v="2009"/>
    <n v="3033"/>
    <s v="Shawn Rodriguez"/>
    <n v="36"/>
    <s v="Delhi"/>
    <s v="Bluetooth Speaker"/>
    <x v="3"/>
    <n v="11047"/>
    <x v="0"/>
    <n v="2"/>
    <n v="22094"/>
  </r>
  <r>
    <n v="1116"/>
    <n v="2009"/>
    <n v="3035"/>
    <s v="Connie Rogers"/>
    <n v="33"/>
    <s v="Mumbai"/>
    <s v="Bluetooth Speaker"/>
    <x v="3"/>
    <n v="11047"/>
    <x v="39"/>
    <n v="5"/>
    <n v="55235"/>
  </r>
  <r>
    <n v="1164"/>
    <n v="2016"/>
    <n v="3026"/>
    <s v="Craig Washington"/>
    <n v="37"/>
    <s v="Delhi"/>
    <s v="Fairy Lights"/>
    <x v="2"/>
    <n v="12242"/>
    <x v="26"/>
    <n v="4"/>
    <n v="48968"/>
  </r>
  <r>
    <n v="1194"/>
    <n v="2014"/>
    <n v="3009"/>
    <s v="Danielle Davis"/>
    <n v="41"/>
    <s v="Chennai"/>
    <s v="Gold Coin"/>
    <x v="7"/>
    <n v="13823"/>
    <x v="22"/>
    <n v="2"/>
    <n v="27646"/>
  </r>
  <r>
    <n v="1241"/>
    <n v="2004"/>
    <n v="3013"/>
    <s v="Juan Romero"/>
    <n v="44"/>
    <s v="Hyderabad"/>
    <s v="Smartphone"/>
    <x v="3"/>
    <n v="4952"/>
    <x v="35"/>
    <n v="3"/>
    <n v="14856"/>
  </r>
  <r>
    <n v="1248"/>
    <n v="2006"/>
    <n v="3011"/>
    <s v="Karen Anderson"/>
    <n v="18"/>
    <s v="Mumbai"/>
    <s v="Crackers Pack"/>
    <x v="6"/>
    <n v="12060"/>
    <x v="10"/>
    <n v="5"/>
    <n v="60300"/>
  </r>
  <r>
    <n v="1218"/>
    <n v="2013"/>
    <n v="3014"/>
    <s v="Robert Baker"/>
    <n v="22"/>
    <s v="Pune"/>
    <s v="Silver Coin"/>
    <x v="7"/>
    <n v="11845"/>
    <x v="4"/>
    <n v="3"/>
    <n v="35535"/>
  </r>
  <r>
    <n v="1021"/>
    <n v="2019"/>
    <n v="3028"/>
    <s v="Margaret Harris"/>
    <n v="33"/>
    <s v="Hyderabad"/>
    <s v="Designer Kurti"/>
    <x v="1"/>
    <n v="13620"/>
    <x v="2"/>
    <n v="5"/>
    <n v="68100"/>
  </r>
  <r>
    <n v="1121"/>
    <n v="2008"/>
    <n v="3030"/>
    <s v="Vincent Fuller"/>
    <n v="25"/>
    <s v="Delhi"/>
    <s v="Earthen Diyas"/>
    <x v="2"/>
    <n v="2136"/>
    <x v="41"/>
    <n v="2"/>
    <n v="4272"/>
  </r>
  <r>
    <n v="1232"/>
    <n v="2008"/>
    <n v="3018"/>
    <s v="Joshua Craig"/>
    <n v="29"/>
    <s v="Pune"/>
    <s v="Earthen Diyas"/>
    <x v="2"/>
    <n v="2136"/>
    <x v="35"/>
    <n v="1"/>
    <n v="2136"/>
  </r>
  <r>
    <n v="1086"/>
    <n v="2006"/>
    <n v="3033"/>
    <s v="Michael Henderson"/>
    <n v="25"/>
    <s v="Kolkata"/>
    <s v="Crackers Pack"/>
    <x v="6"/>
    <n v="12060"/>
    <x v="8"/>
    <n v="2"/>
    <n v="24120"/>
  </r>
  <r>
    <n v="1167"/>
    <n v="2011"/>
    <n v="3030"/>
    <s v="Tracy Hernandez"/>
    <n v="65"/>
    <s v="Bangalore"/>
    <s v="Festive Thali"/>
    <x v="5"/>
    <n v="7481"/>
    <x v="38"/>
    <n v="3"/>
    <n v="22443"/>
  </r>
  <r>
    <n v="1151"/>
    <n v="2006"/>
    <n v="3023"/>
    <s v="Cynthia Simpson"/>
    <n v="58"/>
    <s v="Delhi"/>
    <s v="Crackers Pack"/>
    <x v="6"/>
    <n v="12060"/>
    <x v="20"/>
    <n v="4"/>
    <n v="48240"/>
  </r>
  <r>
    <n v="1029"/>
    <n v="2007"/>
    <n v="3003"/>
    <s v="Leonard Smith"/>
    <n v="49"/>
    <s v="Hyderabad"/>
    <s v="Gift Hamper"/>
    <x v="4"/>
    <n v="3412"/>
    <x v="11"/>
    <n v="2"/>
    <n v="6824"/>
  </r>
  <r>
    <n v="1071"/>
    <n v="2018"/>
    <n v="3013"/>
    <s v="Jennifer Martin"/>
    <n v="58"/>
    <s v="Chennai"/>
    <s v="Dry Fruits Pack"/>
    <x v="4"/>
    <n v="7243"/>
    <x v="1"/>
    <n v="1"/>
    <n v="7243"/>
  </r>
  <r>
    <n v="1238"/>
    <n v="2014"/>
    <n v="3027"/>
    <s v="Steven Hogan"/>
    <n v="46"/>
    <s v="Chennai"/>
    <s v="Gold Coin"/>
    <x v="7"/>
    <n v="13823"/>
    <x v="38"/>
    <n v="3"/>
    <n v="41469"/>
  </r>
  <r>
    <n v="1116"/>
    <n v="2011"/>
    <n v="3031"/>
    <s v="Connie Rogers"/>
    <n v="33"/>
    <s v="Mumbai"/>
    <s v="Festive Thali"/>
    <x v="5"/>
    <n v="7481"/>
    <x v="39"/>
    <n v="5"/>
    <n v="37405"/>
  </r>
  <r>
    <n v="1001"/>
    <n v="2001"/>
    <n v="3018"/>
    <s v="Michael Mitchell"/>
    <n v="35"/>
    <s v="Mumbai"/>
    <s v="Sweets Box"/>
    <x v="4"/>
    <n v="7228"/>
    <x v="11"/>
    <n v="1"/>
    <n v="7228"/>
  </r>
  <r>
    <n v="1065"/>
    <n v="2002"/>
    <n v="3021"/>
    <s v="Carrie Hammond"/>
    <n v="35"/>
    <s v="Pune"/>
    <s v="Saree"/>
    <x v="1"/>
    <n v="9534"/>
    <x v="21"/>
    <n v="1"/>
    <n v="9534"/>
  </r>
  <r>
    <n v="1282"/>
    <n v="2019"/>
    <n v="3024"/>
    <s v="Brett Sanchez"/>
    <n v="50"/>
    <s v="Kolkata"/>
    <s v="Designer Kurti"/>
    <x v="1"/>
    <n v="13620"/>
    <x v="25"/>
    <n v="2"/>
    <n v="27240"/>
  </r>
  <r>
    <n v="1008"/>
    <n v="2016"/>
    <n v="3013"/>
    <s v="Elizabeth Woods"/>
    <n v="61"/>
    <s v="Pune"/>
    <s v="Fairy Lights"/>
    <x v="2"/>
    <n v="12242"/>
    <x v="5"/>
    <n v="2"/>
    <n v="24484"/>
  </r>
  <r>
    <n v="1229"/>
    <n v="2024"/>
    <n v="3016"/>
    <s v="Susan Barry"/>
    <n v="36"/>
    <s v="Pune"/>
    <s v="Perfume Gift Set"/>
    <x v="0"/>
    <n v="16272"/>
    <x v="37"/>
    <n v="3"/>
    <n v="48816"/>
  </r>
  <r>
    <n v="1213"/>
    <n v="2024"/>
    <n v="3004"/>
    <s v="Michael Compton"/>
    <n v="55"/>
    <s v="Mumbai"/>
    <s v="Perfume Gift Set"/>
    <x v="0"/>
    <n v="16272"/>
    <x v="3"/>
    <n v="1"/>
    <n v="16272"/>
  </r>
  <r>
    <n v="1099"/>
    <n v="2025"/>
    <n v="3020"/>
    <s v="Paul Chan"/>
    <n v="62"/>
    <s v="Hyderabad"/>
    <s v="Handbag"/>
    <x v="0"/>
    <n v="17019"/>
    <x v="10"/>
    <n v="5"/>
    <n v="85095"/>
  </r>
  <r>
    <n v="1060"/>
    <n v="2021"/>
    <n v="3032"/>
    <s v="Kayla Aguilar"/>
    <n v="27"/>
    <s v="Hyderabad"/>
    <s v="Smartwatch"/>
    <x v="3"/>
    <n v="17586"/>
    <x v="25"/>
    <n v="5"/>
    <n v="87930"/>
  </r>
  <r>
    <n v="1092"/>
    <n v="2019"/>
    <n v="3029"/>
    <s v="Joseph Thomas"/>
    <n v="23"/>
    <s v="Hyderabad"/>
    <s v="Designer Kurti"/>
    <x v="1"/>
    <n v="13620"/>
    <x v="16"/>
    <n v="5"/>
    <n v="68100"/>
  </r>
  <r>
    <n v="1075"/>
    <n v="2024"/>
    <n v="3027"/>
    <s v="Alexa Potts"/>
    <n v="44"/>
    <s v="Bangalore"/>
    <s v="Perfume Gift Set"/>
    <x v="0"/>
    <n v="16272"/>
    <x v="2"/>
    <n v="1"/>
    <n v="16272"/>
  </r>
  <r>
    <n v="1165"/>
    <n v="2017"/>
    <n v="3026"/>
    <s v="Amanda Carter"/>
    <n v="38"/>
    <s v="Kolkata"/>
    <s v="Handmade Pottery"/>
    <x v="2"/>
    <n v="8186"/>
    <x v="2"/>
    <n v="4"/>
    <n v="32744"/>
  </r>
  <r>
    <n v="1068"/>
    <n v="2007"/>
    <n v="3013"/>
    <s v="Tiffany Brown"/>
    <n v="44"/>
    <s v="Mumbai"/>
    <s v="Gift Hamper"/>
    <x v="4"/>
    <n v="3412"/>
    <x v="32"/>
    <n v="2"/>
    <n v="6824"/>
  </r>
  <r>
    <n v="1055"/>
    <n v="2008"/>
    <n v="3026"/>
    <s v="Tina Armstrong"/>
    <n v="44"/>
    <s v="Mumbai"/>
    <s v="Earthen Diyas"/>
    <x v="2"/>
    <n v="2136"/>
    <x v="24"/>
    <n v="1"/>
    <n v="2136"/>
  </r>
  <r>
    <n v="1029"/>
    <n v="2011"/>
    <n v="3027"/>
    <s v="Leonard Smith"/>
    <n v="49"/>
    <s v="Hyderabad"/>
    <s v="Festive Thali"/>
    <x v="5"/>
    <n v="7481"/>
    <x v="11"/>
    <n v="2"/>
    <n v="14962"/>
  </r>
  <r>
    <n v="1235"/>
    <n v="2024"/>
    <n v="3003"/>
    <s v="Shawn Rodriguez"/>
    <n v="36"/>
    <s v="Delhi"/>
    <s v="Perfume Gift Set"/>
    <x v="0"/>
    <n v="16272"/>
    <x v="0"/>
    <n v="2"/>
    <n v="32544"/>
  </r>
  <r>
    <n v="1115"/>
    <n v="2001"/>
    <n v="3010"/>
    <s v="Valerie Winters"/>
    <n v="61"/>
    <s v="Delhi"/>
    <s v="Sweets Box"/>
    <x v="4"/>
    <n v="7228"/>
    <x v="1"/>
    <n v="4"/>
    <n v="28912"/>
  </r>
  <r>
    <n v="1236"/>
    <n v="2003"/>
    <n v="3025"/>
    <s v="Kimberly Clay"/>
    <n v="60"/>
    <s v="Delhi"/>
    <s v="Kurta"/>
    <x v="1"/>
    <n v="13241"/>
    <x v="15"/>
    <n v="3"/>
    <n v="39723"/>
  </r>
  <r>
    <n v="1078"/>
    <n v="2025"/>
    <n v="3002"/>
    <s v="Jerry Newman"/>
    <n v="19"/>
    <s v="Delhi"/>
    <s v="Handbag"/>
    <x v="0"/>
    <n v="17019"/>
    <x v="13"/>
    <n v="5"/>
    <n v="85095"/>
  </r>
  <r>
    <n v="1100"/>
    <n v="2002"/>
    <n v="3013"/>
    <s v="Michael Escobar"/>
    <n v="33"/>
    <s v="Bangalore"/>
    <s v="Saree"/>
    <x v="1"/>
    <n v="9534"/>
    <x v="2"/>
    <n v="1"/>
    <n v="9534"/>
  </r>
  <r>
    <n v="1141"/>
    <n v="2001"/>
    <n v="3004"/>
    <s v="Pamela Smith"/>
    <n v="40"/>
    <s v="Bangalore"/>
    <s v="Sweets Box"/>
    <x v="4"/>
    <n v="7228"/>
    <x v="34"/>
    <n v="5"/>
    <n v="36140"/>
  </r>
  <r>
    <n v="1300"/>
    <n v="2011"/>
    <n v="3031"/>
    <s v="Shelly Marsh"/>
    <n v="24"/>
    <s v="Pune"/>
    <s v="Festive Thali"/>
    <x v="5"/>
    <n v="7481"/>
    <x v="36"/>
    <n v="2"/>
    <n v="14962"/>
  </r>
  <r>
    <n v="1063"/>
    <n v="2008"/>
    <n v="3004"/>
    <s v="Michael Williams"/>
    <n v="60"/>
    <s v="Mumbai"/>
    <s v="Earthen Diyas"/>
    <x v="2"/>
    <n v="2136"/>
    <x v="31"/>
    <n v="5"/>
    <n v="10680"/>
  </r>
  <r>
    <n v="1132"/>
    <n v="2022"/>
    <n v="3004"/>
    <s v="Victor Rojas"/>
    <n v="32"/>
    <s v="Bangalore"/>
    <s v="Home Decor Statue"/>
    <x v="2"/>
    <n v="17149"/>
    <x v="19"/>
    <n v="2"/>
    <n v="34298"/>
  </r>
  <r>
    <n v="1008"/>
    <n v="2003"/>
    <n v="3018"/>
    <s v="Elizabeth Woods"/>
    <n v="61"/>
    <s v="Pune"/>
    <s v="Kurta"/>
    <x v="1"/>
    <n v="13241"/>
    <x v="5"/>
    <n v="2"/>
    <n v="26482"/>
  </r>
  <r>
    <n v="1216"/>
    <n v="2025"/>
    <n v="3011"/>
    <s v="Michelle Greer"/>
    <n v="41"/>
    <s v="Kolkata"/>
    <s v="Handbag"/>
    <x v="0"/>
    <n v="17019"/>
    <x v="6"/>
    <n v="3"/>
    <n v="51057"/>
  </r>
  <r>
    <n v="1285"/>
    <n v="2014"/>
    <n v="3009"/>
    <s v="Deborah Hill"/>
    <n v="47"/>
    <s v="Delhi"/>
    <s v="Gold Coin"/>
    <x v="7"/>
    <n v="13823"/>
    <x v="29"/>
    <n v="4"/>
    <n v="55292"/>
  </r>
  <r>
    <n v="1228"/>
    <n v="2009"/>
    <n v="3004"/>
    <s v="Ian Kemp"/>
    <n v="42"/>
    <s v="Kolkata"/>
    <s v="Bluetooth Speaker"/>
    <x v="3"/>
    <n v="11047"/>
    <x v="37"/>
    <n v="4"/>
    <n v="44188"/>
  </r>
  <r>
    <n v="1235"/>
    <n v="2014"/>
    <n v="3017"/>
    <s v="Shawn Rodriguez"/>
    <n v="36"/>
    <s v="Delhi"/>
    <s v="Gold Coin"/>
    <x v="7"/>
    <n v="13823"/>
    <x v="0"/>
    <n v="2"/>
    <n v="27646"/>
  </r>
  <r>
    <n v="1140"/>
    <n v="2021"/>
    <n v="3009"/>
    <s v="Alex Brown"/>
    <n v="27"/>
    <s v="Mumbai"/>
    <s v="Smartwatch"/>
    <x v="3"/>
    <n v="17586"/>
    <x v="10"/>
    <n v="2"/>
    <n v="35172"/>
  </r>
  <r>
    <n v="1236"/>
    <n v="2017"/>
    <n v="3023"/>
    <s v="Kimberly Clay"/>
    <n v="60"/>
    <s v="Delhi"/>
    <s v="Handmade Pottery"/>
    <x v="2"/>
    <n v="8186"/>
    <x v="15"/>
    <n v="3"/>
    <n v="24558"/>
  </r>
  <r>
    <n v="1132"/>
    <n v="2002"/>
    <n v="3017"/>
    <s v="Victor Rojas"/>
    <n v="32"/>
    <s v="Bangalore"/>
    <s v="Saree"/>
    <x v="1"/>
    <n v="9534"/>
    <x v="19"/>
    <n v="2"/>
    <n v="19068"/>
  </r>
  <r>
    <n v="1097"/>
    <n v="2020"/>
    <n v="3015"/>
    <s v="Michelle Lowe"/>
    <n v="35"/>
    <s v="Bangalore"/>
    <s v="Ethnic Jewelry"/>
    <x v="7"/>
    <n v="4495"/>
    <x v="17"/>
    <n v="4"/>
    <n v="17980"/>
  </r>
  <r>
    <n v="1063"/>
    <n v="2014"/>
    <n v="3030"/>
    <s v="Michael Williams"/>
    <n v="60"/>
    <s v="Mumbai"/>
    <s v="Gold Coin"/>
    <x v="7"/>
    <n v="13823"/>
    <x v="31"/>
    <n v="5"/>
    <n v="69115"/>
  </r>
  <r>
    <n v="1284"/>
    <n v="2007"/>
    <n v="3032"/>
    <s v="Mary Glover"/>
    <n v="22"/>
    <s v="Pune"/>
    <s v="Gift Hamper"/>
    <x v="4"/>
    <n v="3412"/>
    <x v="39"/>
    <n v="2"/>
    <n v="6824"/>
  </r>
  <r>
    <n v="1146"/>
    <n v="2024"/>
    <n v="3014"/>
    <s v="Angela Martin"/>
    <n v="61"/>
    <s v="Bangalore"/>
    <s v="Perfume Gift Set"/>
    <x v="0"/>
    <n v="16272"/>
    <x v="17"/>
    <n v="1"/>
    <n v="16272"/>
  </r>
  <r>
    <n v="1126"/>
    <n v="2022"/>
    <n v="3027"/>
    <s v="Michael Dawson"/>
    <n v="63"/>
    <s v="Chennai"/>
    <s v="Home Decor Statue"/>
    <x v="2"/>
    <n v="17149"/>
    <x v="27"/>
    <n v="5"/>
    <n v="85745"/>
  </r>
  <r>
    <n v="1211"/>
    <n v="2022"/>
    <n v="3003"/>
    <s v="Deanna Barnes"/>
    <n v="47"/>
    <s v="Hyderabad"/>
    <s v="Home Decor Statue"/>
    <x v="2"/>
    <n v="17149"/>
    <x v="11"/>
    <n v="1"/>
    <n v="17149"/>
  </r>
  <r>
    <n v="1173"/>
    <n v="2019"/>
    <n v="3023"/>
    <s v="Emily Martin"/>
    <n v="51"/>
    <s v="Chennai"/>
    <s v="Designer Kurti"/>
    <x v="1"/>
    <n v="13620"/>
    <x v="12"/>
    <n v="4"/>
    <n v="54480"/>
  </r>
  <r>
    <n v="1238"/>
    <n v="2020"/>
    <n v="3019"/>
    <s v="Steven Hogan"/>
    <n v="46"/>
    <s v="Chennai"/>
    <s v="Ethnic Jewelry"/>
    <x v="7"/>
    <n v="4495"/>
    <x v="38"/>
    <n v="3"/>
    <n v="13485"/>
  </r>
  <r>
    <n v="1092"/>
    <n v="2023"/>
    <n v="3023"/>
    <s v="Joseph Thomas"/>
    <n v="23"/>
    <s v="Hyderabad"/>
    <s v="Kids Wear"/>
    <x v="1"/>
    <n v="4794"/>
    <x v="16"/>
    <n v="5"/>
    <n v="23970"/>
  </r>
  <r>
    <n v="1195"/>
    <n v="2019"/>
    <n v="3001"/>
    <s v="Brianna Robertson"/>
    <n v="50"/>
    <s v="Kolkata"/>
    <s v="Designer Kurti"/>
    <x v="1"/>
    <n v="13620"/>
    <x v="7"/>
    <n v="4"/>
    <n v="54480"/>
  </r>
  <r>
    <n v="1242"/>
    <n v="2023"/>
    <n v="3004"/>
    <s v="Julie Gonzalez"/>
    <n v="23"/>
    <s v="Mumbai"/>
    <s v="Kids Wear"/>
    <x v="1"/>
    <n v="4794"/>
    <x v="41"/>
    <n v="5"/>
    <n v="23970"/>
  </r>
  <r>
    <n v="1271"/>
    <n v="2003"/>
    <n v="3010"/>
    <s v="Alicia Bailey"/>
    <n v="41"/>
    <s v="Bangalore"/>
    <s v="Kurta"/>
    <x v="1"/>
    <n v="13241"/>
    <x v="28"/>
    <n v="2"/>
    <n v="26482"/>
  </r>
  <r>
    <n v="1148"/>
    <n v="2008"/>
    <n v="3029"/>
    <s v="Kathryn Le"/>
    <n v="41"/>
    <s v="Pune"/>
    <s v="Earthen Diyas"/>
    <x v="2"/>
    <n v="2136"/>
    <x v="33"/>
    <n v="2"/>
    <n v="4272"/>
  </r>
  <r>
    <n v="1289"/>
    <n v="2021"/>
    <n v="3014"/>
    <s v="Jose Beck"/>
    <n v="22"/>
    <s v="Delhi"/>
    <s v="Smartwatch"/>
    <x v="3"/>
    <n v="17586"/>
    <x v="13"/>
    <n v="2"/>
    <n v="35172"/>
  </r>
  <r>
    <n v="1161"/>
    <n v="2010"/>
    <n v="3031"/>
    <s v="Christian Aguilar"/>
    <n v="32"/>
    <s v="Delhi"/>
    <s v="Chocolate Box"/>
    <x v="4"/>
    <n v="17909"/>
    <x v="0"/>
    <n v="4"/>
    <n v="71636"/>
  </r>
  <r>
    <n v="1266"/>
    <n v="2025"/>
    <n v="3002"/>
    <s v="Kim Mckinney"/>
    <n v="48"/>
    <s v="Delhi"/>
    <s v="Handbag"/>
    <x v="0"/>
    <n v="17019"/>
    <x v="12"/>
    <n v="5"/>
    <n v="85095"/>
  </r>
  <r>
    <n v="1239"/>
    <n v="2001"/>
    <n v="3011"/>
    <s v="Robert Burton"/>
    <n v="32"/>
    <s v="Chennai"/>
    <s v="Sweets Box"/>
    <x v="4"/>
    <n v="7228"/>
    <x v="6"/>
    <n v="5"/>
    <n v="36140"/>
  </r>
  <r>
    <n v="1017"/>
    <n v="2001"/>
    <n v="3003"/>
    <s v="Sandra Hamilton"/>
    <n v="39"/>
    <s v="Kolkata"/>
    <s v="Sweets Box"/>
    <x v="4"/>
    <n v="7228"/>
    <x v="29"/>
    <n v="2"/>
    <n v="14456"/>
  </r>
  <r>
    <n v="1272"/>
    <n v="2011"/>
    <n v="3009"/>
    <s v="John Miller"/>
    <n v="39"/>
    <s v="Kolkata"/>
    <s v="Festive Thali"/>
    <x v="5"/>
    <n v="7481"/>
    <x v="13"/>
    <n v="2"/>
    <n v="14962"/>
  </r>
  <r>
    <n v="1289"/>
    <n v="2009"/>
    <n v="3035"/>
    <s v="Jose Beck"/>
    <n v="22"/>
    <s v="Delhi"/>
    <s v="Bluetooth Speaker"/>
    <x v="3"/>
    <n v="11047"/>
    <x v="13"/>
    <n v="2"/>
    <n v="22094"/>
  </r>
  <r>
    <n v="1299"/>
    <n v="2025"/>
    <n v="3027"/>
    <s v="Alison Collins"/>
    <n v="29"/>
    <s v="Pune"/>
    <s v="Handbag"/>
    <x v="0"/>
    <n v="17019"/>
    <x v="19"/>
    <n v="2"/>
    <n v="34038"/>
  </r>
  <r>
    <n v="1078"/>
    <n v="2019"/>
    <n v="3034"/>
    <s v="Jerry Newman"/>
    <n v="19"/>
    <s v="Delhi"/>
    <s v="Designer Kurti"/>
    <x v="1"/>
    <n v="13620"/>
    <x v="13"/>
    <n v="5"/>
    <n v="68100"/>
  </r>
  <r>
    <n v="1244"/>
    <n v="2005"/>
    <n v="3032"/>
    <s v="Leonard Kim"/>
    <n v="18"/>
    <s v="Hyderabad"/>
    <s v="LED Lamp"/>
    <x v="2"/>
    <n v="3828"/>
    <x v="33"/>
    <n v="1"/>
    <n v="3828"/>
  </r>
  <r>
    <n v="1059"/>
    <n v="2009"/>
    <n v="3026"/>
    <s v="Cynthia Johnson"/>
    <n v="44"/>
    <s v="Bangalore"/>
    <s v="Bluetooth Speaker"/>
    <x v="3"/>
    <n v="11047"/>
    <x v="2"/>
    <n v="2"/>
    <n v="22094"/>
  </r>
  <r>
    <n v="1237"/>
    <n v="2015"/>
    <n v="3012"/>
    <s v="Oscar Diaz"/>
    <n v="49"/>
    <s v="Kolkata"/>
    <s v="Candle Set"/>
    <x v="2"/>
    <n v="17604"/>
    <x v="3"/>
    <n v="5"/>
    <n v="88020"/>
  </r>
  <r>
    <n v="1133"/>
    <n v="2015"/>
    <n v="3019"/>
    <s v="Timothy Hunt"/>
    <n v="37"/>
    <s v="Kolkata"/>
    <s v="Candle Set"/>
    <x v="2"/>
    <n v="17604"/>
    <x v="18"/>
    <n v="4"/>
    <n v="70416"/>
  </r>
  <r>
    <n v="1234"/>
    <n v="2002"/>
    <n v="3022"/>
    <s v="Kaitlyn Collier"/>
    <n v="55"/>
    <s v="Kolkata"/>
    <s v="Saree"/>
    <x v="1"/>
    <n v="9534"/>
    <x v="13"/>
    <n v="4"/>
    <n v="38136"/>
  </r>
  <r>
    <n v="1197"/>
    <n v="2007"/>
    <n v="3034"/>
    <s v="Daniel Price"/>
    <n v="25"/>
    <s v="Kolkata"/>
    <s v="Gift Hamper"/>
    <x v="4"/>
    <n v="3412"/>
    <x v="2"/>
    <n v="5"/>
    <n v="17060"/>
  </r>
  <r>
    <n v="1144"/>
    <n v="2012"/>
    <n v="3031"/>
    <s v="Amanda Henry"/>
    <n v="63"/>
    <s v="Hyderabad"/>
    <s v="Wall Hanging"/>
    <x v="2"/>
    <n v="11867"/>
    <x v="27"/>
    <n v="5"/>
    <n v="59335"/>
  </r>
  <r>
    <n v="1230"/>
    <n v="2020"/>
    <n v="3004"/>
    <s v="Russell Gray"/>
    <n v="33"/>
    <s v="Hyderabad"/>
    <s v="Ethnic Jewelry"/>
    <x v="7"/>
    <n v="4495"/>
    <x v="2"/>
    <n v="2"/>
    <n v="8990"/>
  </r>
  <r>
    <n v="1215"/>
    <n v="2015"/>
    <n v="3034"/>
    <s v="Brent Murphy"/>
    <n v="57"/>
    <s v="Hyderabad"/>
    <s v="Candle Set"/>
    <x v="2"/>
    <n v="17604"/>
    <x v="31"/>
    <n v="2"/>
    <n v="35208"/>
  </r>
  <r>
    <n v="1216"/>
    <n v="2008"/>
    <n v="3029"/>
    <s v="Michelle Greer"/>
    <n v="41"/>
    <s v="Kolkata"/>
    <s v="Earthen Diyas"/>
    <x v="2"/>
    <n v="2136"/>
    <x v="6"/>
    <n v="3"/>
    <n v="6408"/>
  </r>
  <r>
    <n v="1253"/>
    <n v="2025"/>
    <n v="3022"/>
    <s v="Javier Lewis"/>
    <n v="40"/>
    <s v="Bangalore"/>
    <s v="Handbag"/>
    <x v="0"/>
    <n v="17019"/>
    <x v="2"/>
    <n v="4"/>
    <n v="68076"/>
  </r>
  <r>
    <n v="1142"/>
    <n v="2018"/>
    <n v="3022"/>
    <s v="Derek Coffey"/>
    <n v="21"/>
    <s v="Chennai"/>
    <s v="Dry Fruits Pack"/>
    <x v="4"/>
    <n v="7243"/>
    <x v="25"/>
    <n v="5"/>
    <n v="36215"/>
  </r>
  <r>
    <n v="1104"/>
    <n v="2018"/>
    <n v="3020"/>
    <s v="Gabriel Mcdonald"/>
    <n v="50"/>
    <s v="Hyderabad"/>
    <s v="Dry Fruits Pack"/>
    <x v="4"/>
    <n v="7243"/>
    <x v="28"/>
    <n v="1"/>
    <n v="7243"/>
  </r>
  <r>
    <n v="1253"/>
    <n v="2014"/>
    <n v="3029"/>
    <s v="Javier Lewis"/>
    <n v="40"/>
    <s v="Bangalore"/>
    <s v="Gold Coin"/>
    <x v="7"/>
    <n v="13823"/>
    <x v="2"/>
    <n v="4"/>
    <n v="55292"/>
  </r>
  <r>
    <n v="1231"/>
    <n v="2005"/>
    <n v="3021"/>
    <s v="William Campbell"/>
    <n v="37"/>
    <s v="Hyderabad"/>
    <s v="LED Lamp"/>
    <x v="2"/>
    <n v="3828"/>
    <x v="37"/>
    <n v="3"/>
    <n v="11484"/>
  </r>
  <r>
    <n v="1141"/>
    <n v="2004"/>
    <n v="3001"/>
    <s v="Pamela Smith"/>
    <n v="40"/>
    <s v="Bangalore"/>
    <s v="Smartphone"/>
    <x v="3"/>
    <n v="4952"/>
    <x v="34"/>
    <n v="5"/>
    <n v="24760"/>
  </r>
  <r>
    <n v="1037"/>
    <n v="2003"/>
    <n v="3032"/>
    <s v="Donald Wells"/>
    <n v="36"/>
    <s v="Delhi"/>
    <s v="Kurta"/>
    <x v="1"/>
    <n v="13241"/>
    <x v="29"/>
    <n v="5"/>
    <n v="66205"/>
  </r>
  <r>
    <n v="1253"/>
    <n v="2007"/>
    <n v="3026"/>
    <s v="Javier Lewis"/>
    <n v="40"/>
    <s v="Bangalore"/>
    <s v="Gift Hamper"/>
    <x v="4"/>
    <n v="3412"/>
    <x v="2"/>
    <n v="4"/>
    <n v="13648"/>
  </r>
  <r>
    <n v="1265"/>
    <n v="2015"/>
    <n v="3007"/>
    <s v="Cynthia Chen"/>
    <n v="30"/>
    <s v="Mumbai"/>
    <s v="Candle Set"/>
    <x v="2"/>
    <n v="17604"/>
    <x v="38"/>
    <n v="2"/>
    <n v="35208"/>
  </r>
  <r>
    <n v="1185"/>
    <n v="2008"/>
    <n v="3024"/>
    <s v="Patrick Osborn"/>
    <n v="52"/>
    <s v="Mumbai"/>
    <s v="Earthen Diyas"/>
    <x v="2"/>
    <n v="2136"/>
    <x v="14"/>
    <n v="4"/>
    <n v="8544"/>
  </r>
  <r>
    <n v="1235"/>
    <n v="2004"/>
    <n v="3007"/>
    <s v="Shawn Rodriguez"/>
    <n v="36"/>
    <s v="Delhi"/>
    <s v="Smartphone"/>
    <x v="3"/>
    <n v="4952"/>
    <x v="0"/>
    <n v="2"/>
    <n v="9904"/>
  </r>
  <r>
    <n v="1039"/>
    <n v="2013"/>
    <n v="3031"/>
    <s v="Carol Allen"/>
    <n v="22"/>
    <s v="Bangalore"/>
    <s v="Silver Coin"/>
    <x v="7"/>
    <n v="11845"/>
    <x v="9"/>
    <n v="1"/>
    <n v="11845"/>
  </r>
  <r>
    <n v="1014"/>
    <n v="2008"/>
    <n v="3033"/>
    <s v="Gregory Maddox"/>
    <n v="47"/>
    <s v="Mumbai"/>
    <s v="Earthen Diyas"/>
    <x v="2"/>
    <n v="2136"/>
    <x v="24"/>
    <n v="3"/>
    <n v="6408"/>
  </r>
  <r>
    <n v="1167"/>
    <n v="2020"/>
    <n v="3015"/>
    <s v="Tracy Hernandez"/>
    <n v="65"/>
    <s v="Bangalore"/>
    <s v="Ethnic Jewelry"/>
    <x v="7"/>
    <n v="4495"/>
    <x v="38"/>
    <n v="3"/>
    <n v="13485"/>
  </r>
  <r>
    <n v="1164"/>
    <n v="2025"/>
    <n v="3033"/>
    <s v="Craig Washington"/>
    <n v="37"/>
    <s v="Delhi"/>
    <s v="Handbag"/>
    <x v="0"/>
    <n v="17019"/>
    <x v="26"/>
    <n v="4"/>
    <n v="68076"/>
  </r>
  <r>
    <n v="1038"/>
    <n v="2012"/>
    <n v="3030"/>
    <s v="Eric Escobar"/>
    <n v="64"/>
    <s v="Pune"/>
    <s v="Wall Hanging"/>
    <x v="2"/>
    <n v="11867"/>
    <x v="12"/>
    <n v="4"/>
    <n v="47468"/>
  </r>
  <r>
    <n v="1109"/>
    <n v="2005"/>
    <n v="3034"/>
    <s v="Benjamin Blackwell"/>
    <n v="21"/>
    <s v="Delhi"/>
    <s v="LED Lamp"/>
    <x v="2"/>
    <n v="3828"/>
    <x v="36"/>
    <n v="2"/>
    <n v="7656"/>
  </r>
  <r>
    <n v="1034"/>
    <n v="2010"/>
    <n v="3030"/>
    <s v="Pamela Watson"/>
    <n v="25"/>
    <s v="Kolkata"/>
    <s v="Chocolate Box"/>
    <x v="4"/>
    <n v="17909"/>
    <x v="29"/>
    <n v="1"/>
    <n v="17909"/>
  </r>
  <r>
    <n v="1057"/>
    <n v="2001"/>
    <n v="3028"/>
    <s v="John Lopez"/>
    <n v="51"/>
    <s v="Bangalore"/>
    <s v="Sweets Box"/>
    <x v="4"/>
    <n v="7228"/>
    <x v="32"/>
    <n v="4"/>
    <n v="28912"/>
  </r>
  <r>
    <n v="1162"/>
    <n v="2010"/>
    <n v="3016"/>
    <s v="Jamie Jarvis"/>
    <n v="38"/>
    <s v="Kolkata"/>
    <s v="Chocolate Box"/>
    <x v="4"/>
    <n v="17909"/>
    <x v="39"/>
    <n v="5"/>
    <n v="89545"/>
  </r>
  <r>
    <n v="1285"/>
    <n v="2024"/>
    <n v="3027"/>
    <s v="Deborah Hill"/>
    <n v="47"/>
    <s v="Delhi"/>
    <s v="Perfume Gift Set"/>
    <x v="0"/>
    <n v="16272"/>
    <x v="29"/>
    <n v="4"/>
    <n v="65088"/>
  </r>
  <r>
    <n v="1275"/>
    <n v="2003"/>
    <n v="3015"/>
    <s v="George Newton"/>
    <n v="43"/>
    <s v="Hyderabad"/>
    <s v="Kurta"/>
    <x v="1"/>
    <n v="13241"/>
    <x v="0"/>
    <n v="2"/>
    <n v="26482"/>
  </r>
  <r>
    <n v="1002"/>
    <n v="2012"/>
    <n v="3022"/>
    <s v="Scott Chen"/>
    <n v="21"/>
    <s v="Mumbai"/>
    <s v="Wall Hanging"/>
    <x v="2"/>
    <n v="11867"/>
    <x v="15"/>
    <n v="5"/>
    <n v="59335"/>
  </r>
  <r>
    <n v="1265"/>
    <n v="2025"/>
    <n v="3028"/>
    <s v="Cynthia Chen"/>
    <n v="30"/>
    <s v="Mumbai"/>
    <s v="Handbag"/>
    <x v="0"/>
    <n v="17019"/>
    <x v="38"/>
    <n v="2"/>
    <n v="34038"/>
  </r>
  <r>
    <n v="1203"/>
    <n v="2005"/>
    <n v="3022"/>
    <s v="Jennifer Johnston"/>
    <n v="40"/>
    <s v="Bangalore"/>
    <s v="LED Lamp"/>
    <x v="2"/>
    <n v="3828"/>
    <x v="14"/>
    <n v="1"/>
    <n v="3828"/>
  </r>
  <r>
    <n v="1035"/>
    <n v="2003"/>
    <n v="3034"/>
    <s v="Debra Robinson"/>
    <n v="39"/>
    <s v="Bangalore"/>
    <s v="Kurta"/>
    <x v="1"/>
    <n v="13241"/>
    <x v="13"/>
    <n v="4"/>
    <n v="52964"/>
  </r>
  <r>
    <n v="1130"/>
    <n v="2009"/>
    <n v="3015"/>
    <s v="Nicole Wilson"/>
    <n v="19"/>
    <s v="Chennai"/>
    <s v="Bluetooth Speaker"/>
    <x v="3"/>
    <n v="11047"/>
    <x v="11"/>
    <n v="4"/>
    <n v="44188"/>
  </r>
  <r>
    <n v="1016"/>
    <n v="2024"/>
    <n v="3020"/>
    <s v="Ashley Wright"/>
    <n v="41"/>
    <s v="Hyderabad"/>
    <s v="Perfume Gift Set"/>
    <x v="0"/>
    <n v="16272"/>
    <x v="25"/>
    <n v="2"/>
    <n v="32544"/>
  </r>
  <r>
    <n v="1290"/>
    <n v="2017"/>
    <n v="3012"/>
    <s v="James Mclean"/>
    <n v="19"/>
    <s v="Chennai"/>
    <s v="Handmade Pottery"/>
    <x v="2"/>
    <n v="8186"/>
    <x v="9"/>
    <n v="4"/>
    <n v="32744"/>
  </r>
  <r>
    <n v="1217"/>
    <n v="2008"/>
    <n v="3003"/>
    <s v="Lisa Kelly"/>
    <n v="23"/>
    <s v="Mumbai"/>
    <s v="Earthen Diyas"/>
    <x v="2"/>
    <n v="2136"/>
    <x v="23"/>
    <n v="1"/>
    <n v="2136"/>
  </r>
  <r>
    <n v="1121"/>
    <n v="2010"/>
    <n v="3018"/>
    <s v="Vincent Fuller"/>
    <n v="25"/>
    <s v="Delhi"/>
    <s v="Chocolate Box"/>
    <x v="4"/>
    <n v="17909"/>
    <x v="41"/>
    <n v="2"/>
    <n v="35818"/>
  </r>
  <r>
    <n v="1062"/>
    <n v="2020"/>
    <n v="3026"/>
    <s v="William Murphy"/>
    <n v="34"/>
    <s v="Chennai"/>
    <s v="Ethnic Jewelry"/>
    <x v="7"/>
    <n v="4495"/>
    <x v="8"/>
    <n v="1"/>
    <n v="4495"/>
  </r>
  <r>
    <n v="1118"/>
    <n v="2005"/>
    <n v="3020"/>
    <s v="Jillian Khan"/>
    <n v="29"/>
    <s v="Pune"/>
    <s v="LED Lamp"/>
    <x v="2"/>
    <n v="3828"/>
    <x v="32"/>
    <n v="3"/>
    <n v="11484"/>
  </r>
  <r>
    <n v="1200"/>
    <n v="2003"/>
    <n v="3014"/>
    <s v="Brian Campbell"/>
    <n v="28"/>
    <s v="Chennai"/>
    <s v="Kurta"/>
    <x v="1"/>
    <n v="13241"/>
    <x v="20"/>
    <n v="1"/>
    <n v="13241"/>
  </r>
  <r>
    <n v="1175"/>
    <n v="2023"/>
    <n v="3020"/>
    <s v="Jeffrey Smith"/>
    <n v="51"/>
    <s v="Kolkata"/>
    <s v="Kids Wear"/>
    <x v="1"/>
    <n v="4794"/>
    <x v="16"/>
    <n v="4"/>
    <n v="19176"/>
  </r>
  <r>
    <n v="1201"/>
    <n v="2011"/>
    <n v="3001"/>
    <s v="Chelsea Wade"/>
    <n v="34"/>
    <s v="Kolkata"/>
    <s v="Festive Thali"/>
    <x v="5"/>
    <n v="7481"/>
    <x v="5"/>
    <n v="5"/>
    <n v="37405"/>
  </r>
  <r>
    <n v="1233"/>
    <n v="2021"/>
    <n v="3030"/>
    <s v="Matthew Jennings"/>
    <n v="65"/>
    <s v="Bangalore"/>
    <s v="Smartwatch"/>
    <x v="3"/>
    <n v="17586"/>
    <x v="1"/>
    <n v="3"/>
    <n v="52758"/>
  </r>
  <r>
    <n v="1092"/>
    <n v="2021"/>
    <n v="3025"/>
    <s v="Joseph Thomas"/>
    <n v="23"/>
    <s v="Hyderabad"/>
    <s v="Smartwatch"/>
    <x v="3"/>
    <n v="17586"/>
    <x v="16"/>
    <n v="5"/>
    <n v="87930"/>
  </r>
  <r>
    <n v="1153"/>
    <n v="2001"/>
    <n v="3020"/>
    <s v="Stephanie Miller"/>
    <n v="38"/>
    <s v="Pune"/>
    <s v="Sweets Box"/>
    <x v="4"/>
    <n v="7228"/>
    <x v="14"/>
    <n v="2"/>
    <n v="14456"/>
  </r>
  <r>
    <n v="1274"/>
    <n v="2002"/>
    <n v="3007"/>
    <s v="Gregory Nichols"/>
    <n v="40"/>
    <s v="Mumbai"/>
    <s v="Saree"/>
    <x v="1"/>
    <n v="9534"/>
    <x v="2"/>
    <n v="2"/>
    <n v="19068"/>
  </r>
  <r>
    <n v="1045"/>
    <n v="2025"/>
    <n v="3017"/>
    <s v="Melanie Santana"/>
    <n v="62"/>
    <s v="Hyderabad"/>
    <s v="Handbag"/>
    <x v="0"/>
    <n v="17019"/>
    <x v="4"/>
    <n v="2"/>
    <n v="34038"/>
  </r>
  <r>
    <n v="1009"/>
    <n v="2014"/>
    <n v="3020"/>
    <s v="Kayla Long"/>
    <n v="57"/>
    <s v="Pune"/>
    <s v="Gold Coin"/>
    <x v="7"/>
    <n v="13823"/>
    <x v="10"/>
    <n v="2"/>
    <n v="27646"/>
  </r>
  <r>
    <n v="1216"/>
    <n v="2001"/>
    <n v="3013"/>
    <s v="Michelle Greer"/>
    <n v="41"/>
    <s v="Kolkata"/>
    <s v="Sweets Box"/>
    <x v="4"/>
    <n v="7228"/>
    <x v="6"/>
    <n v="3"/>
    <n v="21684"/>
  </r>
  <r>
    <n v="1058"/>
    <n v="2022"/>
    <n v="3032"/>
    <s v="Jo Roberson"/>
    <n v="44"/>
    <s v="Chennai"/>
    <s v="Home Decor Statue"/>
    <x v="2"/>
    <n v="17149"/>
    <x v="7"/>
    <n v="5"/>
    <n v="85745"/>
  </r>
  <r>
    <n v="1261"/>
    <n v="2001"/>
    <n v="3007"/>
    <s v="Ann Nelson Md"/>
    <n v="26"/>
    <s v="Hyderabad"/>
    <s v="Sweets Box"/>
    <x v="4"/>
    <n v="7228"/>
    <x v="33"/>
    <n v="1"/>
    <n v="7228"/>
  </r>
  <r>
    <n v="1198"/>
    <n v="2021"/>
    <n v="3021"/>
    <s v="Eric Lopez"/>
    <n v="60"/>
    <s v="Bangalore"/>
    <s v="Smartwatch"/>
    <x v="3"/>
    <n v="17586"/>
    <x v="21"/>
    <n v="1"/>
    <n v="17586"/>
  </r>
  <r>
    <n v="1208"/>
    <n v="2024"/>
    <n v="3001"/>
    <s v="Kelly Lee"/>
    <n v="47"/>
    <s v="Delhi"/>
    <s v="Perfume Gift Set"/>
    <x v="0"/>
    <n v="16272"/>
    <x v="14"/>
    <n v="3"/>
    <n v="48816"/>
  </r>
  <r>
    <n v="1149"/>
    <n v="2011"/>
    <n v="3033"/>
    <s v="Christopher Higgins"/>
    <n v="45"/>
    <s v="Delhi"/>
    <s v="Festive Thali"/>
    <x v="5"/>
    <n v="7481"/>
    <x v="29"/>
    <n v="4"/>
    <n v="29924"/>
  </r>
  <r>
    <n v="1093"/>
    <n v="2012"/>
    <n v="3009"/>
    <s v="John Martin"/>
    <n v="35"/>
    <s v="Hyderabad"/>
    <s v="Wall Hanging"/>
    <x v="2"/>
    <n v="11867"/>
    <x v="11"/>
    <n v="4"/>
    <n v="47468"/>
  </r>
  <r>
    <n v="1184"/>
    <n v="2014"/>
    <n v="3026"/>
    <s v="Scott Short"/>
    <n v="41"/>
    <s v="Hyderabad"/>
    <s v="Gold Coin"/>
    <x v="7"/>
    <n v="13823"/>
    <x v="21"/>
    <n v="1"/>
    <n v="13823"/>
  </r>
  <r>
    <n v="1174"/>
    <n v="2003"/>
    <n v="3003"/>
    <s v="Eric West"/>
    <n v="23"/>
    <s v="Hyderabad"/>
    <s v="Kurta"/>
    <x v="1"/>
    <n v="13241"/>
    <x v="20"/>
    <n v="3"/>
    <n v="39723"/>
  </r>
  <r>
    <n v="1083"/>
    <n v="2001"/>
    <n v="3004"/>
    <s v="James Barrera"/>
    <n v="31"/>
    <s v="Pune"/>
    <s v="Sweets Box"/>
    <x v="4"/>
    <n v="7228"/>
    <x v="1"/>
    <n v="4"/>
    <n v="28912"/>
  </r>
  <r>
    <n v="1131"/>
    <n v="2019"/>
    <n v="3003"/>
    <s v="Michael Fletcher"/>
    <n v="46"/>
    <s v="Delhi"/>
    <s v="Designer Kurti"/>
    <x v="1"/>
    <n v="13620"/>
    <x v="19"/>
    <n v="1"/>
    <n v="13620"/>
  </r>
  <r>
    <n v="1166"/>
    <n v="2005"/>
    <n v="3007"/>
    <s v="Susan Mooney"/>
    <n v="48"/>
    <s v="Delhi"/>
    <s v="LED Lamp"/>
    <x v="2"/>
    <n v="3828"/>
    <x v="20"/>
    <n v="1"/>
    <n v="3828"/>
  </r>
  <r>
    <n v="1087"/>
    <n v="2025"/>
    <n v="3002"/>
    <s v="Jared Romero"/>
    <n v="26"/>
    <s v="Hyderabad"/>
    <s v="Handbag"/>
    <x v="0"/>
    <n v="17019"/>
    <x v="10"/>
    <n v="5"/>
    <n v="85095"/>
  </r>
  <r>
    <n v="1067"/>
    <n v="2008"/>
    <n v="3025"/>
    <s v="Carrie Landry"/>
    <n v="39"/>
    <s v="Bangalore"/>
    <s v="Earthen Diyas"/>
    <x v="2"/>
    <n v="2136"/>
    <x v="27"/>
    <n v="5"/>
    <n v="10680"/>
  </r>
  <r>
    <n v="1286"/>
    <n v="2011"/>
    <n v="3006"/>
    <s v="Anthony Taylor"/>
    <n v="33"/>
    <s v="Mumbai"/>
    <s v="Festive Thali"/>
    <x v="5"/>
    <n v="7481"/>
    <x v="27"/>
    <n v="1"/>
    <n v="7481"/>
  </r>
  <r>
    <n v="1197"/>
    <n v="2021"/>
    <n v="3022"/>
    <s v="Daniel Price"/>
    <n v="25"/>
    <s v="Kolkata"/>
    <s v="Smartwatch"/>
    <x v="3"/>
    <n v="17586"/>
    <x v="2"/>
    <n v="5"/>
    <n v="87930"/>
  </r>
  <r>
    <n v="1221"/>
    <n v="2020"/>
    <n v="3009"/>
    <s v="Elizabeth Garcia"/>
    <n v="29"/>
    <s v="Chennai"/>
    <s v="Ethnic Jewelry"/>
    <x v="7"/>
    <n v="4495"/>
    <x v="14"/>
    <n v="1"/>
    <n v="4495"/>
  </r>
  <r>
    <n v="1196"/>
    <n v="2001"/>
    <n v="3029"/>
    <s v="Cynthia Martin"/>
    <n v="20"/>
    <s v="Hyderabad"/>
    <s v="Sweets Box"/>
    <x v="4"/>
    <n v="7228"/>
    <x v="16"/>
    <n v="2"/>
    <n v="14456"/>
  </r>
  <r>
    <n v="1290"/>
    <n v="2022"/>
    <n v="3021"/>
    <s v="James Mclean"/>
    <n v="19"/>
    <s v="Chennai"/>
    <s v="Home Decor Statue"/>
    <x v="2"/>
    <n v="17149"/>
    <x v="9"/>
    <n v="4"/>
    <n v="68596"/>
  </r>
  <r>
    <n v="1081"/>
    <n v="2007"/>
    <n v="3003"/>
    <s v="Lori Cox"/>
    <n v="59"/>
    <s v="Mumbai"/>
    <s v="Gift Hamper"/>
    <x v="4"/>
    <n v="3412"/>
    <x v="15"/>
    <n v="4"/>
    <n v="13648"/>
  </r>
  <r>
    <n v="1110"/>
    <n v="2021"/>
    <n v="3011"/>
    <s v="Michelle Hardin"/>
    <n v="64"/>
    <s v="Delhi"/>
    <s v="Smartwatch"/>
    <x v="3"/>
    <n v="17586"/>
    <x v="18"/>
    <n v="3"/>
    <n v="52758"/>
  </r>
  <r>
    <n v="1099"/>
    <n v="2008"/>
    <n v="3019"/>
    <s v="Paul Chan"/>
    <n v="62"/>
    <s v="Hyderabad"/>
    <s v="Earthen Diyas"/>
    <x v="2"/>
    <n v="2136"/>
    <x v="10"/>
    <n v="5"/>
    <n v="10680"/>
  </r>
  <r>
    <n v="1263"/>
    <n v="2002"/>
    <n v="3022"/>
    <s v="Jordan Smith"/>
    <n v="38"/>
    <s v="Kolkata"/>
    <s v="Saree"/>
    <x v="1"/>
    <n v="9534"/>
    <x v="20"/>
    <n v="1"/>
    <n v="9534"/>
  </r>
  <r>
    <n v="1019"/>
    <n v="2009"/>
    <n v="3022"/>
    <s v="Brenda Dunn"/>
    <n v="23"/>
    <s v="Pune"/>
    <s v="Bluetooth Speaker"/>
    <x v="3"/>
    <n v="11047"/>
    <x v="19"/>
    <n v="3"/>
    <n v="33141"/>
  </r>
  <r>
    <n v="1151"/>
    <n v="2012"/>
    <n v="3033"/>
    <s v="Cynthia Simpson"/>
    <n v="58"/>
    <s v="Delhi"/>
    <s v="Wall Hanging"/>
    <x v="2"/>
    <n v="11867"/>
    <x v="20"/>
    <n v="4"/>
    <n v="47468"/>
  </r>
  <r>
    <n v="1255"/>
    <n v="2023"/>
    <n v="3022"/>
    <s v="Sarah Day"/>
    <n v="48"/>
    <s v="Mumbai"/>
    <s v="Kids Wear"/>
    <x v="1"/>
    <n v="4794"/>
    <x v="0"/>
    <n v="4"/>
    <n v="19176"/>
  </r>
  <r>
    <n v="1214"/>
    <n v="2003"/>
    <n v="3018"/>
    <s v="Andrea Strickland"/>
    <n v="64"/>
    <s v="Pune"/>
    <s v="Kurta"/>
    <x v="1"/>
    <n v="13241"/>
    <x v="5"/>
    <n v="3"/>
    <n v="39723"/>
  </r>
  <r>
    <n v="1242"/>
    <n v="2015"/>
    <n v="3028"/>
    <s v="Julie Gonzalez"/>
    <n v="23"/>
    <s v="Mumbai"/>
    <s v="Candle Set"/>
    <x v="2"/>
    <n v="17604"/>
    <x v="41"/>
    <n v="5"/>
    <n v="88020"/>
  </r>
  <r>
    <n v="1203"/>
    <n v="2002"/>
    <n v="3007"/>
    <s v="Jennifer Johnston"/>
    <n v="40"/>
    <s v="Bangalore"/>
    <s v="Saree"/>
    <x v="1"/>
    <n v="9534"/>
    <x v="14"/>
    <n v="1"/>
    <n v="9534"/>
  </r>
  <r>
    <n v="1082"/>
    <n v="2006"/>
    <n v="3017"/>
    <s v="Sharon Phillips"/>
    <n v="43"/>
    <s v="Bangalore"/>
    <s v="Crackers Pack"/>
    <x v="6"/>
    <n v="12060"/>
    <x v="9"/>
    <n v="5"/>
    <n v="60300"/>
  </r>
  <r>
    <n v="1113"/>
    <n v="2023"/>
    <n v="3019"/>
    <s v="Tyler Lozano"/>
    <n v="62"/>
    <s v="Chennai"/>
    <s v="Kids Wear"/>
    <x v="1"/>
    <n v="4794"/>
    <x v="17"/>
    <n v="1"/>
    <n v="4794"/>
  </r>
  <r>
    <n v="1215"/>
    <n v="2020"/>
    <n v="3015"/>
    <s v="Brent Murphy"/>
    <n v="57"/>
    <s v="Hyderabad"/>
    <s v="Ethnic Jewelry"/>
    <x v="7"/>
    <n v="4495"/>
    <x v="31"/>
    <n v="2"/>
    <n v="8990"/>
  </r>
  <r>
    <n v="1198"/>
    <n v="2006"/>
    <n v="3002"/>
    <s v="Eric Lopez"/>
    <n v="60"/>
    <s v="Bangalore"/>
    <s v="Crackers Pack"/>
    <x v="6"/>
    <n v="12060"/>
    <x v="21"/>
    <n v="1"/>
    <n v="12060"/>
  </r>
  <r>
    <n v="1009"/>
    <n v="2024"/>
    <n v="3009"/>
    <s v="Kayla Long"/>
    <n v="57"/>
    <s v="Pune"/>
    <s v="Perfume Gift Set"/>
    <x v="0"/>
    <n v="16272"/>
    <x v="10"/>
    <n v="2"/>
    <n v="32544"/>
  </r>
  <r>
    <n v="1202"/>
    <n v="2010"/>
    <n v="3015"/>
    <s v="Bonnie Moreno"/>
    <n v="45"/>
    <s v="Mumbai"/>
    <s v="Chocolate Box"/>
    <x v="4"/>
    <n v="17909"/>
    <x v="11"/>
    <n v="1"/>
    <n v="17909"/>
  </r>
  <r>
    <n v="1183"/>
    <n v="2014"/>
    <n v="3033"/>
    <s v="Walter Griffin"/>
    <n v="20"/>
    <s v="Chennai"/>
    <s v="Gold Coin"/>
    <x v="7"/>
    <n v="13823"/>
    <x v="5"/>
    <n v="5"/>
    <n v="69115"/>
  </r>
  <r>
    <n v="1060"/>
    <n v="2024"/>
    <n v="3021"/>
    <s v="Kayla Aguilar"/>
    <n v="27"/>
    <s v="Hyderabad"/>
    <s v="Perfume Gift Set"/>
    <x v="0"/>
    <n v="16272"/>
    <x v="25"/>
    <n v="5"/>
    <n v="81360"/>
  </r>
  <r>
    <n v="1039"/>
    <n v="2007"/>
    <n v="3018"/>
    <s v="Carol Allen"/>
    <n v="22"/>
    <s v="Bangalore"/>
    <s v="Gift Hamper"/>
    <x v="4"/>
    <n v="3412"/>
    <x v="9"/>
    <n v="1"/>
    <n v="3412"/>
  </r>
  <r>
    <n v="1034"/>
    <n v="2006"/>
    <n v="3001"/>
    <s v="Pamela Watson"/>
    <n v="25"/>
    <s v="Kolkata"/>
    <s v="Crackers Pack"/>
    <x v="6"/>
    <n v="12060"/>
    <x v="29"/>
    <n v="1"/>
    <n v="12060"/>
  </r>
  <r>
    <n v="1209"/>
    <n v="2017"/>
    <n v="3017"/>
    <s v="Emily Rodriguez"/>
    <n v="20"/>
    <s v="Kolkata"/>
    <s v="Handmade Pottery"/>
    <x v="2"/>
    <n v="8186"/>
    <x v="11"/>
    <n v="2"/>
    <n v="16372"/>
  </r>
  <r>
    <n v="1292"/>
    <n v="2012"/>
    <n v="3001"/>
    <s v="Angela Bass"/>
    <n v="19"/>
    <s v="Mumbai"/>
    <s v="Wall Hanging"/>
    <x v="2"/>
    <n v="11867"/>
    <x v="34"/>
    <n v="2"/>
    <n v="23734"/>
  </r>
  <r>
    <n v="1236"/>
    <n v="2022"/>
    <n v="3009"/>
    <s v="Kimberly Clay"/>
    <n v="60"/>
    <s v="Delhi"/>
    <s v="Home Decor Statue"/>
    <x v="2"/>
    <n v="17149"/>
    <x v="15"/>
    <n v="3"/>
    <n v="51447"/>
  </r>
  <r>
    <n v="1188"/>
    <n v="2024"/>
    <n v="3004"/>
    <s v="Timothy Graham"/>
    <n v="33"/>
    <s v="Kolkata"/>
    <s v="Perfume Gift Set"/>
    <x v="0"/>
    <n v="16272"/>
    <x v="20"/>
    <n v="3"/>
    <n v="48816"/>
  </r>
  <r>
    <n v="1215"/>
    <n v="2025"/>
    <n v="3004"/>
    <s v="Brent Murphy"/>
    <n v="57"/>
    <s v="Hyderabad"/>
    <s v="Handbag"/>
    <x v="0"/>
    <n v="17019"/>
    <x v="31"/>
    <n v="2"/>
    <n v="34038"/>
  </r>
  <r>
    <n v="1150"/>
    <n v="2023"/>
    <n v="3013"/>
    <s v="Angelica Davis"/>
    <n v="18"/>
    <s v="Bangalore"/>
    <s v="Kids Wear"/>
    <x v="1"/>
    <n v="4794"/>
    <x v="10"/>
    <n v="3"/>
    <n v="14382"/>
  </r>
  <r>
    <n v="1009"/>
    <n v="2004"/>
    <n v="3020"/>
    <s v="Kayla Long"/>
    <n v="57"/>
    <s v="Pune"/>
    <s v="Smartphone"/>
    <x v="3"/>
    <n v="4952"/>
    <x v="10"/>
    <n v="2"/>
    <n v="9904"/>
  </r>
  <r>
    <n v="1069"/>
    <n v="2011"/>
    <n v="3031"/>
    <s v="Calvin Wright"/>
    <n v="63"/>
    <s v="Chennai"/>
    <s v="Festive Thali"/>
    <x v="5"/>
    <n v="7481"/>
    <x v="22"/>
    <n v="2"/>
    <n v="14962"/>
  </r>
  <r>
    <n v="1062"/>
    <n v="2023"/>
    <n v="3027"/>
    <s v="William Murphy"/>
    <n v="34"/>
    <s v="Chennai"/>
    <s v="Kids Wear"/>
    <x v="1"/>
    <n v="4794"/>
    <x v="8"/>
    <n v="1"/>
    <n v="4794"/>
  </r>
  <r>
    <n v="1159"/>
    <n v="2001"/>
    <n v="3034"/>
    <s v="William Smith"/>
    <n v="65"/>
    <s v="Mumbai"/>
    <s v="Sweets Box"/>
    <x v="4"/>
    <n v="7228"/>
    <x v="37"/>
    <n v="2"/>
    <n v="14456"/>
  </r>
  <r>
    <n v="1220"/>
    <n v="2024"/>
    <n v="3033"/>
    <s v="Desiree Reed"/>
    <n v="29"/>
    <s v="Hyderabad"/>
    <s v="Perfume Gift Set"/>
    <x v="0"/>
    <n v="16272"/>
    <x v="17"/>
    <n v="2"/>
    <n v="32544"/>
  </r>
  <r>
    <n v="1276"/>
    <n v="2025"/>
    <n v="3020"/>
    <s v="Miss Tammy Cooper"/>
    <n v="42"/>
    <s v="Mumbai"/>
    <s v="Handbag"/>
    <x v="0"/>
    <n v="17019"/>
    <x v="16"/>
    <n v="4"/>
    <n v="68076"/>
  </r>
  <r>
    <n v="1004"/>
    <n v="2015"/>
    <n v="3024"/>
    <s v="Holly Hopkins"/>
    <n v="65"/>
    <s v="Mumbai"/>
    <s v="Candle Set"/>
    <x v="2"/>
    <n v="17604"/>
    <x v="31"/>
    <n v="2"/>
    <n v="35208"/>
  </r>
  <r>
    <n v="1263"/>
    <n v="2013"/>
    <n v="3003"/>
    <s v="Jordan Smith"/>
    <n v="38"/>
    <s v="Kolkata"/>
    <s v="Silver Coin"/>
    <x v="7"/>
    <n v="11845"/>
    <x v="20"/>
    <n v="1"/>
    <n v="11845"/>
  </r>
  <r>
    <n v="1168"/>
    <n v="2022"/>
    <n v="3016"/>
    <s v="John Daniels"/>
    <n v="40"/>
    <s v="Kolkata"/>
    <s v="Home Decor Statue"/>
    <x v="2"/>
    <n v="17149"/>
    <x v="27"/>
    <n v="5"/>
    <n v="85745"/>
  </r>
  <r>
    <n v="1090"/>
    <n v="2005"/>
    <n v="3034"/>
    <s v="Colleen Aguilar"/>
    <n v="55"/>
    <s v="Mumbai"/>
    <s v="LED Lamp"/>
    <x v="2"/>
    <n v="3828"/>
    <x v="25"/>
    <n v="3"/>
    <n v="11484"/>
  </r>
  <r>
    <n v="1001"/>
    <n v="2017"/>
    <n v="3020"/>
    <s v="Michael Mitchell"/>
    <n v="35"/>
    <s v="Mumbai"/>
    <s v="Handmade Pottery"/>
    <x v="2"/>
    <n v="8186"/>
    <x v="11"/>
    <n v="1"/>
    <n v="8186"/>
  </r>
  <r>
    <n v="1246"/>
    <n v="2003"/>
    <n v="3019"/>
    <s v="Casey Bailey"/>
    <n v="18"/>
    <s v="Bangalore"/>
    <s v="Kurta"/>
    <x v="1"/>
    <n v="13241"/>
    <x v="26"/>
    <n v="2"/>
    <n v="26482"/>
  </r>
  <r>
    <n v="1144"/>
    <n v="2003"/>
    <n v="3006"/>
    <s v="Amanda Henry"/>
    <n v="63"/>
    <s v="Hyderabad"/>
    <s v="Kurta"/>
    <x v="1"/>
    <n v="13241"/>
    <x v="27"/>
    <n v="5"/>
    <n v="66205"/>
  </r>
  <r>
    <n v="1068"/>
    <n v="2001"/>
    <n v="3004"/>
    <s v="Tiffany Brown"/>
    <n v="44"/>
    <s v="Mumbai"/>
    <s v="Sweets Box"/>
    <x v="4"/>
    <n v="7228"/>
    <x v="32"/>
    <n v="2"/>
    <n v="14456"/>
  </r>
  <r>
    <n v="1077"/>
    <n v="2014"/>
    <n v="3017"/>
    <s v="Carlos Hester"/>
    <n v="36"/>
    <s v="Delhi"/>
    <s v="Gold Coin"/>
    <x v="7"/>
    <n v="13823"/>
    <x v="23"/>
    <n v="4"/>
    <n v="55292"/>
  </r>
  <r>
    <n v="1123"/>
    <n v="2025"/>
    <n v="3010"/>
    <s v="Luis Long"/>
    <n v="53"/>
    <s v="Chennai"/>
    <s v="Handbag"/>
    <x v="0"/>
    <n v="17019"/>
    <x v="14"/>
    <n v="5"/>
    <n v="85095"/>
  </r>
  <r>
    <n v="1269"/>
    <n v="2019"/>
    <n v="3026"/>
    <s v="Anne Harris"/>
    <n v="33"/>
    <s v="Kolkata"/>
    <s v="Designer Kurti"/>
    <x v="1"/>
    <n v="13620"/>
    <x v="19"/>
    <n v="5"/>
    <n v="68100"/>
  </r>
  <r>
    <n v="1182"/>
    <n v="2010"/>
    <n v="3019"/>
    <s v="Benjamin Sanchez"/>
    <n v="47"/>
    <s v="Bangalore"/>
    <s v="Chocolate Box"/>
    <x v="4"/>
    <n v="17909"/>
    <x v="12"/>
    <n v="2"/>
    <n v="35818"/>
  </r>
  <r>
    <n v="1231"/>
    <n v="2009"/>
    <n v="3017"/>
    <s v="William Campbell"/>
    <n v="37"/>
    <s v="Hyderabad"/>
    <s v="Bluetooth Speaker"/>
    <x v="3"/>
    <n v="11047"/>
    <x v="37"/>
    <n v="3"/>
    <n v="33141"/>
  </r>
  <r>
    <n v="1038"/>
    <n v="2009"/>
    <n v="3019"/>
    <s v="Eric Escobar"/>
    <n v="64"/>
    <s v="Pune"/>
    <s v="Bluetooth Speaker"/>
    <x v="3"/>
    <n v="11047"/>
    <x v="12"/>
    <n v="4"/>
    <n v="44188"/>
  </r>
  <r>
    <n v="1208"/>
    <n v="2017"/>
    <n v="3034"/>
    <s v="Kelly Lee"/>
    <n v="47"/>
    <s v="Delhi"/>
    <s v="Handmade Pottery"/>
    <x v="2"/>
    <n v="8186"/>
    <x v="14"/>
    <n v="3"/>
    <n v="24558"/>
  </r>
  <r>
    <n v="1196"/>
    <n v="2004"/>
    <n v="3022"/>
    <s v="Cynthia Martin"/>
    <n v="20"/>
    <s v="Hyderabad"/>
    <s v="Smartphone"/>
    <x v="3"/>
    <n v="4952"/>
    <x v="16"/>
    <n v="2"/>
    <n v="9904"/>
  </r>
  <r>
    <n v="1263"/>
    <n v="2010"/>
    <n v="3031"/>
    <s v="Jordan Smith"/>
    <n v="38"/>
    <s v="Kolkata"/>
    <s v="Chocolate Box"/>
    <x v="4"/>
    <n v="17909"/>
    <x v="20"/>
    <n v="1"/>
    <n v="17909"/>
  </r>
  <r>
    <n v="1148"/>
    <n v="2020"/>
    <n v="3027"/>
    <s v="Kathryn Le"/>
    <n v="41"/>
    <s v="Pune"/>
    <s v="Ethnic Jewelry"/>
    <x v="7"/>
    <n v="4495"/>
    <x v="33"/>
    <n v="2"/>
    <n v="8990"/>
  </r>
  <r>
    <n v="1052"/>
    <n v="2021"/>
    <n v="3028"/>
    <s v="Kristin Ayers"/>
    <n v="38"/>
    <s v="Bangalore"/>
    <s v="Smartwatch"/>
    <x v="3"/>
    <n v="17586"/>
    <x v="9"/>
    <n v="1"/>
    <n v="17586"/>
  </r>
  <r>
    <n v="1212"/>
    <n v="2002"/>
    <n v="3002"/>
    <s v="Ashley Green"/>
    <n v="41"/>
    <s v="Hyderabad"/>
    <s v="Saree"/>
    <x v="1"/>
    <n v="9534"/>
    <x v="24"/>
    <n v="4"/>
    <n v="38136"/>
  </r>
  <r>
    <n v="1022"/>
    <n v="2002"/>
    <n v="3014"/>
    <s v="Juan Foster"/>
    <n v="61"/>
    <s v="Kolkata"/>
    <s v="Saree"/>
    <x v="1"/>
    <n v="9534"/>
    <x v="2"/>
    <n v="2"/>
    <n v="19068"/>
  </r>
  <r>
    <n v="1173"/>
    <n v="2004"/>
    <n v="3009"/>
    <s v="Emily Martin"/>
    <n v="51"/>
    <s v="Chennai"/>
    <s v="Smartphone"/>
    <x v="3"/>
    <n v="4952"/>
    <x v="12"/>
    <n v="4"/>
    <n v="19808"/>
  </r>
  <r>
    <n v="1115"/>
    <n v="2009"/>
    <n v="3004"/>
    <s v="Valerie Winters"/>
    <n v="61"/>
    <s v="Delhi"/>
    <s v="Bluetooth Speaker"/>
    <x v="3"/>
    <n v="11047"/>
    <x v="1"/>
    <n v="4"/>
    <n v="44188"/>
  </r>
  <r>
    <n v="1163"/>
    <n v="2009"/>
    <n v="3033"/>
    <s v="Amy Hernandez"/>
    <n v="18"/>
    <s v="Chennai"/>
    <s v="Bluetooth Speaker"/>
    <x v="3"/>
    <n v="11047"/>
    <x v="28"/>
    <n v="4"/>
    <n v="44188"/>
  </r>
  <r>
    <n v="1244"/>
    <n v="2015"/>
    <n v="3029"/>
    <s v="Leonard Kim"/>
    <n v="18"/>
    <s v="Hyderabad"/>
    <s v="Candle Set"/>
    <x v="2"/>
    <n v="17604"/>
    <x v="33"/>
    <n v="1"/>
    <n v="17604"/>
  </r>
  <r>
    <n v="1096"/>
    <n v="2023"/>
    <n v="3018"/>
    <s v="Morgan Webb"/>
    <n v="60"/>
    <s v="Mumbai"/>
    <s v="Kids Wear"/>
    <x v="1"/>
    <n v="4794"/>
    <x v="40"/>
    <n v="4"/>
    <n v="19176"/>
  </r>
  <r>
    <n v="1294"/>
    <n v="2001"/>
    <n v="3032"/>
    <s v="Nathaniel Beck"/>
    <n v="36"/>
    <s v="Kolkata"/>
    <s v="Sweets Box"/>
    <x v="4"/>
    <n v="7228"/>
    <x v="25"/>
    <n v="5"/>
    <n v="36140"/>
  </r>
  <r>
    <n v="1104"/>
    <n v="2006"/>
    <n v="3015"/>
    <s v="Gabriel Mcdonald"/>
    <n v="50"/>
    <s v="Hyderabad"/>
    <s v="Crackers Pack"/>
    <x v="6"/>
    <n v="12060"/>
    <x v="28"/>
    <n v="1"/>
    <n v="12060"/>
  </r>
  <r>
    <n v="1218"/>
    <n v="2016"/>
    <n v="3025"/>
    <s v="Robert Baker"/>
    <n v="22"/>
    <s v="Pune"/>
    <s v="Fairy Lights"/>
    <x v="2"/>
    <n v="12242"/>
    <x v="4"/>
    <n v="3"/>
    <n v="36726"/>
  </r>
  <r>
    <n v="1043"/>
    <n v="2002"/>
    <n v="3007"/>
    <s v="Brenda Foster"/>
    <n v="49"/>
    <s v="Bangalore"/>
    <s v="Saree"/>
    <x v="1"/>
    <n v="9534"/>
    <x v="10"/>
    <n v="2"/>
    <n v="19068"/>
  </r>
  <r>
    <n v="1286"/>
    <n v="2012"/>
    <n v="3009"/>
    <s v="Anthony Taylor"/>
    <n v="33"/>
    <s v="Mumbai"/>
    <s v="Wall Hanging"/>
    <x v="2"/>
    <n v="11867"/>
    <x v="27"/>
    <n v="1"/>
    <n v="11867"/>
  </r>
  <r>
    <n v="1193"/>
    <n v="2021"/>
    <n v="3017"/>
    <s v="Margaret Schwartz"/>
    <n v="25"/>
    <s v="Mumbai"/>
    <s v="Smartwatch"/>
    <x v="3"/>
    <n v="17586"/>
    <x v="15"/>
    <n v="5"/>
    <n v="87930"/>
  </r>
  <r>
    <n v="1227"/>
    <n v="2011"/>
    <n v="3016"/>
    <s v="Stephanie Campbell"/>
    <n v="42"/>
    <s v="Chennai"/>
    <s v="Festive Thali"/>
    <x v="5"/>
    <n v="7481"/>
    <x v="26"/>
    <n v="5"/>
    <n v="37405"/>
  </r>
  <r>
    <n v="1062"/>
    <n v="2022"/>
    <n v="3032"/>
    <s v="William Murphy"/>
    <n v="34"/>
    <s v="Chennai"/>
    <s v="Home Decor Statue"/>
    <x v="2"/>
    <n v="17149"/>
    <x v="8"/>
    <n v="1"/>
    <n v="17149"/>
  </r>
  <r>
    <n v="1141"/>
    <n v="2002"/>
    <n v="3013"/>
    <s v="Pamela Smith"/>
    <n v="40"/>
    <s v="Bangalore"/>
    <s v="Saree"/>
    <x v="1"/>
    <n v="9534"/>
    <x v="34"/>
    <n v="5"/>
    <n v="47670"/>
  </r>
  <r>
    <n v="1188"/>
    <n v="2021"/>
    <n v="3015"/>
    <s v="Timothy Graham"/>
    <n v="33"/>
    <s v="Kolkata"/>
    <s v="Smartwatch"/>
    <x v="3"/>
    <n v="17586"/>
    <x v="20"/>
    <n v="3"/>
    <n v="52758"/>
  </r>
  <r>
    <n v="1236"/>
    <n v="2014"/>
    <n v="3004"/>
    <s v="Kimberly Clay"/>
    <n v="60"/>
    <s v="Delhi"/>
    <s v="Gold Coin"/>
    <x v="7"/>
    <n v="13823"/>
    <x v="15"/>
    <n v="3"/>
    <n v="41469"/>
  </r>
  <r>
    <n v="1212"/>
    <n v="2010"/>
    <n v="3025"/>
    <s v="Ashley Green"/>
    <n v="41"/>
    <s v="Hyderabad"/>
    <s v="Chocolate Box"/>
    <x v="4"/>
    <n v="17909"/>
    <x v="24"/>
    <n v="4"/>
    <n v="71636"/>
  </r>
  <r>
    <n v="1158"/>
    <n v="2022"/>
    <n v="3029"/>
    <s v="David Smith"/>
    <n v="59"/>
    <s v="Mumbai"/>
    <s v="Home Decor Statue"/>
    <x v="2"/>
    <n v="17149"/>
    <x v="7"/>
    <n v="1"/>
    <n v="17149"/>
  </r>
  <r>
    <n v="1168"/>
    <n v="2003"/>
    <n v="3003"/>
    <s v="John Daniels"/>
    <n v="40"/>
    <s v="Kolkata"/>
    <s v="Kurta"/>
    <x v="1"/>
    <n v="13241"/>
    <x v="27"/>
    <n v="5"/>
    <n v="66205"/>
  </r>
  <r>
    <n v="1039"/>
    <n v="2020"/>
    <n v="3026"/>
    <s v="Carol Allen"/>
    <n v="22"/>
    <s v="Bangalore"/>
    <s v="Ethnic Jewelry"/>
    <x v="7"/>
    <n v="4495"/>
    <x v="9"/>
    <n v="1"/>
    <n v="4495"/>
  </r>
  <r>
    <n v="1251"/>
    <n v="2004"/>
    <n v="3011"/>
    <s v="Zachary Browning"/>
    <n v="20"/>
    <s v="Hyderabad"/>
    <s v="Smartphone"/>
    <x v="3"/>
    <n v="4952"/>
    <x v="2"/>
    <n v="1"/>
    <n v="4952"/>
  </r>
  <r>
    <n v="1095"/>
    <n v="2016"/>
    <n v="3006"/>
    <s v="Edward Johnson"/>
    <n v="49"/>
    <s v="Kolkata"/>
    <s v="Fairy Lights"/>
    <x v="2"/>
    <n v="12242"/>
    <x v="4"/>
    <n v="1"/>
    <n v="12242"/>
  </r>
  <r>
    <n v="1180"/>
    <n v="2022"/>
    <n v="3034"/>
    <s v="Amber Valdez"/>
    <n v="59"/>
    <s v="Chennai"/>
    <s v="Home Decor Statue"/>
    <x v="2"/>
    <n v="17149"/>
    <x v="28"/>
    <n v="4"/>
    <n v="68596"/>
  </r>
  <r>
    <n v="1173"/>
    <n v="2002"/>
    <n v="3003"/>
    <s v="Emily Martin"/>
    <n v="51"/>
    <s v="Chennai"/>
    <s v="Saree"/>
    <x v="1"/>
    <n v="9534"/>
    <x v="12"/>
    <n v="4"/>
    <n v="38136"/>
  </r>
  <r>
    <n v="1128"/>
    <n v="2017"/>
    <n v="3012"/>
    <s v="Thomas Pennington"/>
    <n v="49"/>
    <s v="Pune"/>
    <s v="Handmade Pottery"/>
    <x v="2"/>
    <n v="8186"/>
    <x v="9"/>
    <n v="3"/>
    <n v="24558"/>
  </r>
  <r>
    <n v="1076"/>
    <n v="2023"/>
    <n v="3007"/>
    <s v="Daniel Simon"/>
    <n v="28"/>
    <s v="Chennai"/>
    <s v="Kids Wear"/>
    <x v="1"/>
    <n v="4794"/>
    <x v="8"/>
    <n v="1"/>
    <n v="4794"/>
  </r>
  <r>
    <n v="1176"/>
    <n v="2019"/>
    <n v="3008"/>
    <s v="Brent Smith"/>
    <n v="37"/>
    <s v="Bangalore"/>
    <s v="Designer Kurti"/>
    <x v="1"/>
    <n v="13620"/>
    <x v="25"/>
    <n v="3"/>
    <n v="40860"/>
  </r>
  <r>
    <n v="1055"/>
    <n v="2008"/>
    <n v="3004"/>
    <s v="Tina Armstrong"/>
    <n v="44"/>
    <s v="Mumbai"/>
    <s v="Earthen Diyas"/>
    <x v="2"/>
    <n v="2136"/>
    <x v="24"/>
    <n v="1"/>
    <n v="2136"/>
  </r>
  <r>
    <n v="1228"/>
    <n v="2014"/>
    <n v="3031"/>
    <s v="Ian Kemp"/>
    <n v="42"/>
    <s v="Kolkata"/>
    <s v="Gold Coin"/>
    <x v="7"/>
    <n v="13823"/>
    <x v="37"/>
    <n v="4"/>
    <n v="55292"/>
  </r>
  <r>
    <n v="1283"/>
    <n v="2013"/>
    <n v="3015"/>
    <s v="Gregory Richardson"/>
    <n v="62"/>
    <s v="Chennai"/>
    <s v="Silver Coin"/>
    <x v="7"/>
    <n v="11845"/>
    <x v="4"/>
    <n v="5"/>
    <n v="59225"/>
  </r>
  <r>
    <n v="1203"/>
    <n v="2002"/>
    <n v="3025"/>
    <s v="Jennifer Johnston"/>
    <n v="40"/>
    <s v="Bangalore"/>
    <s v="Saree"/>
    <x v="1"/>
    <n v="9534"/>
    <x v="14"/>
    <n v="1"/>
    <n v="9534"/>
  </r>
  <r>
    <n v="1018"/>
    <n v="2023"/>
    <n v="3026"/>
    <s v="Mariah Kim"/>
    <n v="34"/>
    <s v="Mumbai"/>
    <s v="Kids Wear"/>
    <x v="1"/>
    <n v="4794"/>
    <x v="13"/>
    <n v="1"/>
    <n v="4794"/>
  </r>
  <r>
    <n v="1130"/>
    <n v="2018"/>
    <n v="3015"/>
    <s v="Nicole Wilson"/>
    <n v="19"/>
    <s v="Chennai"/>
    <s v="Dry Fruits Pack"/>
    <x v="4"/>
    <n v="7243"/>
    <x v="11"/>
    <n v="4"/>
    <n v="28972"/>
  </r>
  <r>
    <n v="1221"/>
    <n v="2022"/>
    <n v="3011"/>
    <s v="Elizabeth Garcia"/>
    <n v="29"/>
    <s v="Chennai"/>
    <s v="Home Decor Statue"/>
    <x v="2"/>
    <n v="17149"/>
    <x v="14"/>
    <n v="1"/>
    <n v="17149"/>
  </r>
  <r>
    <n v="1252"/>
    <n v="2012"/>
    <n v="3004"/>
    <s v="Sheryl Henderson"/>
    <n v="41"/>
    <s v="Mumbai"/>
    <s v="Wall Hanging"/>
    <x v="2"/>
    <n v="11867"/>
    <x v="16"/>
    <n v="1"/>
    <n v="11867"/>
  </r>
  <r>
    <n v="1205"/>
    <n v="2017"/>
    <n v="3033"/>
    <s v="Judy Gilbert"/>
    <n v="61"/>
    <s v="Hyderabad"/>
    <s v="Handmade Pottery"/>
    <x v="2"/>
    <n v="8186"/>
    <x v="31"/>
    <n v="5"/>
    <n v="40930"/>
  </r>
  <r>
    <n v="1079"/>
    <n v="2012"/>
    <n v="3033"/>
    <s v="Anthony Myers"/>
    <n v="39"/>
    <s v="Hyderabad"/>
    <s v="Wall Hanging"/>
    <x v="2"/>
    <n v="11867"/>
    <x v="17"/>
    <n v="2"/>
    <n v="23734"/>
  </r>
  <r>
    <n v="1197"/>
    <n v="2024"/>
    <n v="3016"/>
    <s v="Daniel Price"/>
    <n v="25"/>
    <s v="Kolkata"/>
    <s v="Perfume Gift Set"/>
    <x v="0"/>
    <n v="16272"/>
    <x v="2"/>
    <n v="5"/>
    <n v="81360"/>
  </r>
  <r>
    <n v="1204"/>
    <n v="2017"/>
    <n v="3025"/>
    <s v="William Freeman"/>
    <n v="49"/>
    <s v="Mumbai"/>
    <s v="Handmade Pottery"/>
    <x v="2"/>
    <n v="8186"/>
    <x v="24"/>
    <n v="3"/>
    <n v="24558"/>
  </r>
  <r>
    <n v="1224"/>
    <n v="2019"/>
    <n v="3021"/>
    <s v="Joseph Garrett"/>
    <n v="58"/>
    <s v="Pune"/>
    <s v="Designer Kurti"/>
    <x v="1"/>
    <n v="13620"/>
    <x v="35"/>
    <n v="2"/>
    <n v="27240"/>
  </r>
  <r>
    <n v="1208"/>
    <n v="2006"/>
    <n v="3028"/>
    <s v="Kelly Lee"/>
    <n v="47"/>
    <s v="Delhi"/>
    <s v="Crackers Pack"/>
    <x v="6"/>
    <n v="12060"/>
    <x v="14"/>
    <n v="3"/>
    <n v="36180"/>
  </r>
  <r>
    <n v="1215"/>
    <n v="2017"/>
    <n v="3023"/>
    <s v="Brent Murphy"/>
    <n v="57"/>
    <s v="Hyderabad"/>
    <s v="Handmade Pottery"/>
    <x v="2"/>
    <n v="8186"/>
    <x v="31"/>
    <n v="2"/>
    <n v="16372"/>
  </r>
  <r>
    <n v="1076"/>
    <n v="2004"/>
    <n v="3007"/>
    <s v="Daniel Simon"/>
    <n v="28"/>
    <s v="Chennai"/>
    <s v="Smartphone"/>
    <x v="3"/>
    <n v="4952"/>
    <x v="8"/>
    <n v="1"/>
    <n v="4952"/>
  </r>
  <r>
    <n v="1039"/>
    <n v="2003"/>
    <n v="3009"/>
    <s v="Carol Allen"/>
    <n v="22"/>
    <s v="Bangalore"/>
    <s v="Kurta"/>
    <x v="1"/>
    <n v="13241"/>
    <x v="9"/>
    <n v="1"/>
    <n v="13241"/>
  </r>
  <r>
    <n v="1217"/>
    <n v="2018"/>
    <n v="3025"/>
    <s v="Lisa Kelly"/>
    <n v="23"/>
    <s v="Mumbai"/>
    <s v="Dry Fruits Pack"/>
    <x v="4"/>
    <n v="7243"/>
    <x v="23"/>
    <n v="1"/>
    <n v="7243"/>
  </r>
  <r>
    <n v="1121"/>
    <n v="2002"/>
    <n v="3032"/>
    <s v="Vincent Fuller"/>
    <n v="25"/>
    <s v="Delhi"/>
    <s v="Saree"/>
    <x v="1"/>
    <n v="9534"/>
    <x v="41"/>
    <n v="2"/>
    <n v="19068"/>
  </r>
  <r>
    <n v="1222"/>
    <n v="2002"/>
    <n v="3034"/>
    <s v="Frank Johnson"/>
    <n v="39"/>
    <s v="Mumbai"/>
    <s v="Saree"/>
    <x v="1"/>
    <n v="9534"/>
    <x v="3"/>
    <n v="4"/>
    <n v="38136"/>
  </r>
  <r>
    <n v="1233"/>
    <n v="2023"/>
    <n v="3010"/>
    <s v="Matthew Jennings"/>
    <n v="65"/>
    <s v="Bangalore"/>
    <s v="Kids Wear"/>
    <x v="1"/>
    <n v="4794"/>
    <x v="1"/>
    <n v="3"/>
    <n v="14382"/>
  </r>
  <r>
    <n v="1053"/>
    <n v="2008"/>
    <n v="3016"/>
    <s v="Brandon Martin"/>
    <n v="52"/>
    <s v="Kolkata"/>
    <s v="Earthen Diyas"/>
    <x v="2"/>
    <n v="2136"/>
    <x v="12"/>
    <n v="3"/>
    <n v="6408"/>
  </r>
  <r>
    <n v="1154"/>
    <n v="2013"/>
    <n v="3032"/>
    <s v="Kristin Davis"/>
    <n v="43"/>
    <s v="Hyderabad"/>
    <s v="Silver Coin"/>
    <x v="7"/>
    <n v="11845"/>
    <x v="22"/>
    <n v="1"/>
    <n v="11845"/>
  </r>
  <r>
    <n v="1128"/>
    <n v="2012"/>
    <n v="3018"/>
    <s v="Thomas Pennington"/>
    <n v="49"/>
    <s v="Pune"/>
    <s v="Wall Hanging"/>
    <x v="2"/>
    <n v="11867"/>
    <x v="9"/>
    <n v="3"/>
    <n v="35601"/>
  </r>
  <r>
    <n v="1112"/>
    <n v="2023"/>
    <n v="3024"/>
    <s v="Ashley Lane"/>
    <n v="39"/>
    <s v="Bangalore"/>
    <s v="Kids Wear"/>
    <x v="1"/>
    <n v="4794"/>
    <x v="41"/>
    <n v="4"/>
    <n v="19176"/>
  </r>
  <r>
    <n v="1228"/>
    <n v="2012"/>
    <n v="3003"/>
    <s v="Ian Kemp"/>
    <n v="42"/>
    <s v="Kolkata"/>
    <s v="Wall Hanging"/>
    <x v="2"/>
    <n v="11867"/>
    <x v="37"/>
    <n v="4"/>
    <n v="47468"/>
  </r>
  <r>
    <n v="1171"/>
    <n v="2017"/>
    <n v="3029"/>
    <s v="Brandon Graves"/>
    <n v="43"/>
    <s v="Delhi"/>
    <s v="Handmade Pottery"/>
    <x v="2"/>
    <n v="8186"/>
    <x v="40"/>
    <n v="1"/>
    <n v="8186"/>
  </r>
  <r>
    <n v="1141"/>
    <n v="2018"/>
    <n v="3025"/>
    <s v="Pamela Smith"/>
    <n v="40"/>
    <s v="Bangalore"/>
    <s v="Dry Fruits Pack"/>
    <x v="4"/>
    <n v="7243"/>
    <x v="34"/>
    <n v="5"/>
    <n v="36215"/>
  </r>
  <r>
    <n v="1030"/>
    <n v="2013"/>
    <n v="3014"/>
    <s v="Andrea Hines"/>
    <n v="49"/>
    <s v="Bangalore"/>
    <s v="Silver Coin"/>
    <x v="7"/>
    <n v="11845"/>
    <x v="16"/>
    <n v="4"/>
    <n v="47380"/>
  </r>
  <r>
    <n v="1109"/>
    <n v="2014"/>
    <n v="3002"/>
    <s v="Benjamin Blackwell"/>
    <n v="21"/>
    <s v="Delhi"/>
    <s v="Gold Coin"/>
    <x v="7"/>
    <n v="13823"/>
    <x v="36"/>
    <n v="2"/>
    <n v="27646"/>
  </r>
  <r>
    <n v="1048"/>
    <n v="2015"/>
    <n v="3020"/>
    <s v="James Callahan"/>
    <n v="40"/>
    <s v="Pune"/>
    <s v="Candle Set"/>
    <x v="2"/>
    <n v="17604"/>
    <x v="10"/>
    <n v="2"/>
    <n v="35208"/>
  </r>
  <r>
    <n v="1020"/>
    <n v="2013"/>
    <n v="3010"/>
    <s v="Mallory Jackson"/>
    <n v="60"/>
    <s v="Kolkata"/>
    <s v="Silver Coin"/>
    <x v="7"/>
    <n v="11845"/>
    <x v="13"/>
    <n v="4"/>
    <n v="47380"/>
  </r>
  <r>
    <n v="1146"/>
    <n v="2001"/>
    <n v="3008"/>
    <s v="Angela Martin"/>
    <n v="61"/>
    <s v="Bangalore"/>
    <s v="Sweets Box"/>
    <x v="4"/>
    <n v="7228"/>
    <x v="17"/>
    <n v="1"/>
    <n v="7228"/>
  </r>
  <r>
    <n v="1220"/>
    <n v="2007"/>
    <n v="3002"/>
    <s v="Desiree Reed"/>
    <n v="29"/>
    <s v="Hyderabad"/>
    <s v="Gift Hamper"/>
    <x v="4"/>
    <n v="3412"/>
    <x v="17"/>
    <n v="2"/>
    <n v="6824"/>
  </r>
  <r>
    <n v="1136"/>
    <n v="2013"/>
    <n v="3020"/>
    <s v="Brooke Oliver"/>
    <n v="30"/>
    <s v="Chennai"/>
    <s v="Silver Coin"/>
    <x v="7"/>
    <n v="11845"/>
    <x v="0"/>
    <n v="4"/>
    <n v="47380"/>
  </r>
  <r>
    <n v="1273"/>
    <n v="2005"/>
    <n v="3019"/>
    <s v="Anthony Mayer"/>
    <n v="47"/>
    <s v="Pune"/>
    <s v="LED Lamp"/>
    <x v="2"/>
    <n v="3828"/>
    <x v="20"/>
    <n v="1"/>
    <n v="3828"/>
  </r>
  <r>
    <n v="1207"/>
    <n v="2023"/>
    <n v="3034"/>
    <s v="Jeffrey Curtis"/>
    <n v="26"/>
    <s v="Mumbai"/>
    <s v="Kids Wear"/>
    <x v="1"/>
    <n v="4794"/>
    <x v="26"/>
    <n v="1"/>
    <n v="4794"/>
  </r>
  <r>
    <n v="1126"/>
    <n v="2025"/>
    <n v="3010"/>
    <s v="Michael Dawson"/>
    <n v="63"/>
    <s v="Chennai"/>
    <s v="Handbag"/>
    <x v="0"/>
    <n v="17019"/>
    <x v="27"/>
    <n v="5"/>
    <n v="85095"/>
  </r>
  <r>
    <n v="1255"/>
    <n v="2007"/>
    <n v="3022"/>
    <s v="Sarah Day"/>
    <n v="48"/>
    <s v="Mumbai"/>
    <s v="Gift Hamper"/>
    <x v="4"/>
    <n v="3412"/>
    <x v="0"/>
    <n v="4"/>
    <n v="13648"/>
  </r>
  <r>
    <n v="1249"/>
    <n v="2010"/>
    <n v="3021"/>
    <s v="Robert Keller"/>
    <n v="22"/>
    <s v="Mumbai"/>
    <s v="Chocolate Box"/>
    <x v="4"/>
    <n v="17909"/>
    <x v="21"/>
    <n v="3"/>
    <n v="53727"/>
  </r>
  <r>
    <n v="1213"/>
    <n v="2020"/>
    <n v="3016"/>
    <s v="Michael Compton"/>
    <n v="55"/>
    <s v="Mumbai"/>
    <s v="Ethnic Jewelry"/>
    <x v="7"/>
    <n v="4495"/>
    <x v="3"/>
    <n v="1"/>
    <n v="4495"/>
  </r>
  <r>
    <n v="1145"/>
    <n v="2017"/>
    <n v="3026"/>
    <s v="Valerie Love"/>
    <n v="51"/>
    <s v="Mumbai"/>
    <s v="Handmade Pottery"/>
    <x v="2"/>
    <n v="8186"/>
    <x v="13"/>
    <n v="3"/>
    <n v="24558"/>
  </r>
  <r>
    <n v="1137"/>
    <n v="2016"/>
    <n v="3015"/>
    <s v="Karen Perez"/>
    <n v="61"/>
    <s v="Mumbai"/>
    <s v="Fairy Lights"/>
    <x v="2"/>
    <n v="12242"/>
    <x v="30"/>
    <n v="4"/>
    <n v="48968"/>
  </r>
  <r>
    <n v="1133"/>
    <n v="2005"/>
    <n v="3013"/>
    <s v="Timothy Hunt"/>
    <n v="37"/>
    <s v="Kolkata"/>
    <s v="LED Lamp"/>
    <x v="2"/>
    <n v="3828"/>
    <x v="18"/>
    <n v="4"/>
    <n v="15312"/>
  </r>
  <r>
    <n v="1072"/>
    <n v="2012"/>
    <n v="3003"/>
    <s v="Michael Torres"/>
    <n v="29"/>
    <s v="Delhi"/>
    <s v="Wall Hanging"/>
    <x v="2"/>
    <n v="11867"/>
    <x v="37"/>
    <n v="2"/>
    <n v="23734"/>
  </r>
  <r>
    <n v="1133"/>
    <n v="2003"/>
    <n v="3031"/>
    <s v="Timothy Hunt"/>
    <n v="37"/>
    <s v="Kolkata"/>
    <s v="Kurta"/>
    <x v="1"/>
    <n v="13241"/>
    <x v="18"/>
    <n v="4"/>
    <n v="52964"/>
  </r>
  <r>
    <n v="1252"/>
    <n v="2015"/>
    <n v="3019"/>
    <s v="Sheryl Henderson"/>
    <n v="41"/>
    <s v="Mumbai"/>
    <s v="Candle Set"/>
    <x v="2"/>
    <n v="17604"/>
    <x v="16"/>
    <n v="1"/>
    <n v="17604"/>
  </r>
  <r>
    <n v="1041"/>
    <n v="2011"/>
    <n v="3011"/>
    <s v="Vincent Hale"/>
    <n v="31"/>
    <s v="Delhi"/>
    <s v="Festive Thali"/>
    <x v="5"/>
    <n v="7481"/>
    <x v="4"/>
    <n v="2"/>
    <n v="14962"/>
  </r>
  <r>
    <n v="1038"/>
    <n v="2020"/>
    <n v="3028"/>
    <s v="Eric Escobar"/>
    <n v="64"/>
    <s v="Pune"/>
    <s v="Ethnic Jewelry"/>
    <x v="7"/>
    <n v="4495"/>
    <x v="12"/>
    <n v="4"/>
    <n v="17980"/>
  </r>
  <r>
    <n v="1263"/>
    <n v="2004"/>
    <n v="3001"/>
    <s v="Jordan Smith"/>
    <n v="38"/>
    <s v="Kolkata"/>
    <s v="Smartphone"/>
    <x v="3"/>
    <n v="4952"/>
    <x v="20"/>
    <n v="1"/>
    <n v="4952"/>
  </r>
  <r>
    <n v="1172"/>
    <n v="2014"/>
    <n v="3025"/>
    <s v="Angela Rivera"/>
    <n v="44"/>
    <s v="Mumbai"/>
    <s v="Gold Coin"/>
    <x v="7"/>
    <n v="13823"/>
    <x v="0"/>
    <n v="4"/>
    <n v="55292"/>
  </r>
  <r>
    <n v="1005"/>
    <n v="2016"/>
    <n v="3025"/>
    <s v="Nathan Porter"/>
    <n v="49"/>
    <s v="Mumbai"/>
    <s v="Fairy Lights"/>
    <x v="2"/>
    <n v="12242"/>
    <x v="12"/>
    <n v="4"/>
    <n v="48968"/>
  </r>
  <r>
    <n v="1110"/>
    <n v="2005"/>
    <n v="3033"/>
    <s v="Michelle Hardin"/>
    <n v="64"/>
    <s v="Delhi"/>
    <s v="LED Lamp"/>
    <x v="2"/>
    <n v="3828"/>
    <x v="18"/>
    <n v="3"/>
    <n v="11484"/>
  </r>
  <r>
    <n v="1208"/>
    <n v="2005"/>
    <n v="3031"/>
    <s v="Kelly Lee"/>
    <n v="47"/>
    <s v="Delhi"/>
    <s v="LED Lamp"/>
    <x v="2"/>
    <n v="3828"/>
    <x v="14"/>
    <n v="3"/>
    <n v="11484"/>
  </r>
  <r>
    <n v="1023"/>
    <n v="2008"/>
    <n v="3032"/>
    <s v="Daniel Williams"/>
    <n v="45"/>
    <s v="Pune"/>
    <s v="Earthen Diyas"/>
    <x v="2"/>
    <n v="2136"/>
    <x v="20"/>
    <n v="3"/>
    <n v="6408"/>
  </r>
  <r>
    <n v="1083"/>
    <n v="2003"/>
    <n v="3024"/>
    <s v="James Barrera"/>
    <n v="31"/>
    <s v="Pune"/>
    <s v="Kurta"/>
    <x v="1"/>
    <n v="13241"/>
    <x v="1"/>
    <n v="4"/>
    <n v="52964"/>
  </r>
  <r>
    <n v="1210"/>
    <n v="2022"/>
    <n v="3009"/>
    <s v="Laura Wong"/>
    <n v="55"/>
    <s v="Delhi"/>
    <s v="Home Decor Statue"/>
    <x v="2"/>
    <n v="17149"/>
    <x v="5"/>
    <n v="2"/>
    <n v="34298"/>
  </r>
  <r>
    <n v="1091"/>
    <n v="2009"/>
    <n v="3016"/>
    <s v="Brandy Martinez"/>
    <n v="28"/>
    <s v="Kolkata"/>
    <s v="Bluetooth Speaker"/>
    <x v="3"/>
    <n v="11047"/>
    <x v="11"/>
    <n v="5"/>
    <n v="55235"/>
  </r>
  <r>
    <n v="1153"/>
    <n v="2015"/>
    <n v="3023"/>
    <s v="Stephanie Miller"/>
    <n v="38"/>
    <s v="Pune"/>
    <s v="Candle Set"/>
    <x v="2"/>
    <n v="17604"/>
    <x v="14"/>
    <n v="2"/>
    <n v="35208"/>
  </r>
  <r>
    <n v="1263"/>
    <n v="2012"/>
    <n v="3029"/>
    <s v="Jordan Smith"/>
    <n v="38"/>
    <s v="Kolkata"/>
    <s v="Wall Hanging"/>
    <x v="2"/>
    <n v="11867"/>
    <x v="20"/>
    <n v="1"/>
    <n v="11867"/>
  </r>
  <r>
    <n v="1251"/>
    <n v="2010"/>
    <n v="3001"/>
    <s v="Zachary Browning"/>
    <n v="20"/>
    <s v="Hyderabad"/>
    <s v="Chocolate Box"/>
    <x v="4"/>
    <n v="17909"/>
    <x v="2"/>
    <n v="1"/>
    <n v="17909"/>
  </r>
  <r>
    <n v="1036"/>
    <n v="2022"/>
    <n v="3027"/>
    <s v="Rebecca Harris"/>
    <n v="27"/>
    <s v="Kolkata"/>
    <s v="Home Decor Statue"/>
    <x v="2"/>
    <n v="17149"/>
    <x v="4"/>
    <n v="2"/>
    <n v="34298"/>
  </r>
  <r>
    <n v="1124"/>
    <n v="2003"/>
    <n v="3010"/>
    <s v="Terrence Johnson"/>
    <n v="41"/>
    <s v="Kolkata"/>
    <s v="Kurta"/>
    <x v="1"/>
    <n v="13241"/>
    <x v="31"/>
    <n v="5"/>
    <n v="66205"/>
  </r>
  <r>
    <n v="1032"/>
    <n v="2006"/>
    <n v="3006"/>
    <s v="Robert Williams"/>
    <n v="63"/>
    <s v="Delhi"/>
    <s v="Crackers Pack"/>
    <x v="6"/>
    <n v="12060"/>
    <x v="41"/>
    <n v="1"/>
    <n v="12060"/>
  </r>
  <r>
    <n v="1129"/>
    <n v="2023"/>
    <n v="3020"/>
    <s v="Christopher Wagner"/>
    <n v="60"/>
    <s v="Hyderabad"/>
    <s v="Kids Wear"/>
    <x v="1"/>
    <n v="4794"/>
    <x v="35"/>
    <n v="1"/>
    <n v="4794"/>
  </r>
  <r>
    <n v="1200"/>
    <n v="2018"/>
    <n v="3007"/>
    <s v="Brian Campbell"/>
    <n v="28"/>
    <s v="Chennai"/>
    <s v="Dry Fruits Pack"/>
    <x v="4"/>
    <n v="7243"/>
    <x v="20"/>
    <n v="1"/>
    <n v="7243"/>
  </r>
  <r>
    <n v="1151"/>
    <n v="2005"/>
    <n v="3001"/>
    <s v="Cynthia Simpson"/>
    <n v="58"/>
    <s v="Delhi"/>
    <s v="LED Lamp"/>
    <x v="2"/>
    <n v="3828"/>
    <x v="20"/>
    <n v="4"/>
    <n v="15312"/>
  </r>
  <r>
    <n v="1158"/>
    <n v="2022"/>
    <n v="3017"/>
    <s v="David Smith"/>
    <n v="59"/>
    <s v="Mumbai"/>
    <s v="Home Decor Statue"/>
    <x v="2"/>
    <n v="17149"/>
    <x v="7"/>
    <n v="1"/>
    <n v="17149"/>
  </r>
  <r>
    <n v="1173"/>
    <n v="2017"/>
    <n v="3009"/>
    <s v="Emily Martin"/>
    <n v="51"/>
    <s v="Chennai"/>
    <s v="Handmade Pottery"/>
    <x v="2"/>
    <n v="8186"/>
    <x v="12"/>
    <n v="4"/>
    <n v="32744"/>
  </r>
  <r>
    <n v="1248"/>
    <n v="2010"/>
    <n v="3002"/>
    <s v="Karen Anderson"/>
    <n v="18"/>
    <s v="Mumbai"/>
    <s v="Chocolate Box"/>
    <x v="4"/>
    <n v="17909"/>
    <x v="10"/>
    <n v="5"/>
    <n v="89545"/>
  </r>
  <r>
    <n v="1149"/>
    <n v="2003"/>
    <n v="3030"/>
    <s v="Christopher Higgins"/>
    <n v="45"/>
    <s v="Delhi"/>
    <s v="Kurta"/>
    <x v="1"/>
    <n v="13241"/>
    <x v="29"/>
    <n v="4"/>
    <n v="52964"/>
  </r>
  <r>
    <n v="1088"/>
    <n v="2021"/>
    <n v="3029"/>
    <s v="Mark Mitchell"/>
    <n v="58"/>
    <s v="Delhi"/>
    <s v="Smartwatch"/>
    <x v="3"/>
    <n v="17586"/>
    <x v="21"/>
    <n v="3"/>
    <n v="52758"/>
  </r>
  <r>
    <n v="1140"/>
    <n v="2012"/>
    <n v="3025"/>
    <s v="Alex Brown"/>
    <n v="27"/>
    <s v="Mumbai"/>
    <s v="Wall Hanging"/>
    <x v="2"/>
    <n v="11867"/>
    <x v="10"/>
    <n v="2"/>
    <n v="23734"/>
  </r>
  <r>
    <n v="1297"/>
    <n v="2023"/>
    <n v="3021"/>
    <s v="Samantha Mendoza"/>
    <n v="19"/>
    <s v="Pune"/>
    <s v="Kids Wear"/>
    <x v="1"/>
    <n v="4794"/>
    <x v="10"/>
    <n v="3"/>
    <n v="14382"/>
  </r>
  <r>
    <n v="1176"/>
    <n v="2007"/>
    <n v="3027"/>
    <s v="Brent Smith"/>
    <n v="37"/>
    <s v="Bangalore"/>
    <s v="Gift Hamper"/>
    <x v="4"/>
    <n v="3412"/>
    <x v="25"/>
    <n v="3"/>
    <n v="10236"/>
  </r>
  <r>
    <n v="1113"/>
    <n v="2022"/>
    <n v="3001"/>
    <s v="Tyler Lozano"/>
    <n v="62"/>
    <s v="Chennai"/>
    <s v="Home Decor Statue"/>
    <x v="2"/>
    <n v="17149"/>
    <x v="17"/>
    <n v="1"/>
    <n v="17149"/>
  </r>
  <r>
    <n v="1238"/>
    <n v="2012"/>
    <n v="3014"/>
    <s v="Steven Hogan"/>
    <n v="46"/>
    <s v="Chennai"/>
    <s v="Wall Hanging"/>
    <x v="2"/>
    <n v="11867"/>
    <x v="38"/>
    <n v="3"/>
    <n v="35601"/>
  </r>
  <r>
    <n v="1282"/>
    <n v="2019"/>
    <n v="3021"/>
    <s v="Brett Sanchez"/>
    <n v="50"/>
    <s v="Kolkata"/>
    <s v="Designer Kurti"/>
    <x v="1"/>
    <n v="13620"/>
    <x v="25"/>
    <n v="2"/>
    <n v="27240"/>
  </r>
  <r>
    <n v="1088"/>
    <n v="2017"/>
    <n v="3009"/>
    <s v="Mark Mitchell"/>
    <n v="58"/>
    <s v="Delhi"/>
    <s v="Handmade Pottery"/>
    <x v="2"/>
    <n v="8186"/>
    <x v="21"/>
    <n v="3"/>
    <n v="24558"/>
  </r>
  <r>
    <n v="1121"/>
    <n v="2005"/>
    <n v="3012"/>
    <s v="Vincent Fuller"/>
    <n v="25"/>
    <s v="Delhi"/>
    <s v="LED Lamp"/>
    <x v="2"/>
    <n v="3828"/>
    <x v="41"/>
    <n v="2"/>
    <n v="7656"/>
  </r>
  <r>
    <n v="1094"/>
    <n v="2019"/>
    <n v="3008"/>
    <s v="Amanda Craig"/>
    <n v="57"/>
    <s v="Delhi"/>
    <s v="Designer Kurti"/>
    <x v="1"/>
    <n v="13620"/>
    <x v="4"/>
    <n v="1"/>
    <n v="13620"/>
  </r>
  <r>
    <n v="1013"/>
    <n v="2023"/>
    <n v="3029"/>
    <s v="Tara Richardson"/>
    <n v="44"/>
    <s v="Mumbai"/>
    <s v="Kids Wear"/>
    <x v="1"/>
    <n v="4794"/>
    <x v="35"/>
    <n v="4"/>
    <n v="19176"/>
  </r>
  <r>
    <n v="1252"/>
    <n v="2011"/>
    <n v="3013"/>
    <s v="Sheryl Henderson"/>
    <n v="41"/>
    <s v="Mumbai"/>
    <s v="Festive Thali"/>
    <x v="5"/>
    <n v="7481"/>
    <x v="16"/>
    <n v="1"/>
    <n v="7481"/>
  </r>
  <r>
    <n v="1296"/>
    <n v="2009"/>
    <n v="3022"/>
    <s v="Robert Lee"/>
    <n v="40"/>
    <s v="Pune"/>
    <s v="Bluetooth Speaker"/>
    <x v="3"/>
    <n v="11047"/>
    <x v="13"/>
    <n v="1"/>
    <n v="11047"/>
  </r>
  <r>
    <n v="1181"/>
    <n v="2018"/>
    <n v="3018"/>
    <s v="Joseph Browning"/>
    <n v="59"/>
    <s v="Hyderabad"/>
    <s v="Dry Fruits Pack"/>
    <x v="4"/>
    <n v="7243"/>
    <x v="9"/>
    <n v="2"/>
    <n v="14486"/>
  </r>
  <r>
    <n v="1228"/>
    <n v="2020"/>
    <n v="3008"/>
    <s v="Ian Kemp"/>
    <n v="42"/>
    <s v="Kolkata"/>
    <s v="Ethnic Jewelry"/>
    <x v="7"/>
    <n v="4495"/>
    <x v="37"/>
    <n v="4"/>
    <n v="17980"/>
  </r>
  <r>
    <n v="1047"/>
    <n v="2003"/>
    <n v="3022"/>
    <s v="Lynn Henderson"/>
    <n v="40"/>
    <s v="Delhi"/>
    <s v="Kurta"/>
    <x v="1"/>
    <n v="13241"/>
    <x v="5"/>
    <n v="5"/>
    <n v="66205"/>
  </r>
  <r>
    <n v="1260"/>
    <n v="2016"/>
    <n v="3014"/>
    <s v="Scott Wheeler"/>
    <n v="40"/>
    <s v="Hyderabad"/>
    <s v="Fairy Lights"/>
    <x v="2"/>
    <n v="12242"/>
    <x v="20"/>
    <n v="5"/>
    <n v="61210"/>
  </r>
  <r>
    <n v="1267"/>
    <n v="2010"/>
    <n v="3007"/>
    <s v="Sharon Cannon"/>
    <n v="55"/>
    <s v="Mumbai"/>
    <s v="Chocolate Box"/>
    <x v="4"/>
    <n v="17909"/>
    <x v="1"/>
    <n v="3"/>
    <n v="53727"/>
  </r>
  <r>
    <n v="1067"/>
    <n v="2008"/>
    <n v="3028"/>
    <s v="Carrie Landry"/>
    <n v="39"/>
    <s v="Bangalore"/>
    <s v="Earthen Diyas"/>
    <x v="2"/>
    <n v="2136"/>
    <x v="27"/>
    <n v="5"/>
    <n v="10680"/>
  </r>
  <r>
    <n v="1248"/>
    <n v="2011"/>
    <n v="3021"/>
    <s v="Karen Anderson"/>
    <n v="18"/>
    <s v="Mumbai"/>
    <s v="Festive Thali"/>
    <x v="5"/>
    <n v="7481"/>
    <x v="10"/>
    <n v="5"/>
    <n v="37405"/>
  </r>
  <r>
    <n v="1111"/>
    <n v="2006"/>
    <n v="3026"/>
    <s v="Steven Jones"/>
    <n v="42"/>
    <s v="Delhi"/>
    <s v="Crackers Pack"/>
    <x v="6"/>
    <n v="12060"/>
    <x v="35"/>
    <n v="2"/>
    <n v="24120"/>
  </r>
  <r>
    <n v="1118"/>
    <n v="2011"/>
    <n v="3015"/>
    <s v="Jillian Khan"/>
    <n v="29"/>
    <s v="Pune"/>
    <s v="Festive Thali"/>
    <x v="5"/>
    <n v="7481"/>
    <x v="32"/>
    <n v="3"/>
    <n v="22443"/>
  </r>
  <r>
    <n v="1020"/>
    <n v="2004"/>
    <n v="3026"/>
    <s v="Mallory Jackson"/>
    <n v="60"/>
    <s v="Kolkata"/>
    <s v="Smartphone"/>
    <x v="3"/>
    <n v="4952"/>
    <x v="13"/>
    <n v="4"/>
    <n v="19808"/>
  </r>
  <r>
    <n v="1126"/>
    <n v="2024"/>
    <n v="3020"/>
    <s v="Michael Dawson"/>
    <n v="63"/>
    <s v="Chennai"/>
    <s v="Perfume Gift Set"/>
    <x v="0"/>
    <n v="16272"/>
    <x v="27"/>
    <n v="5"/>
    <n v="81360"/>
  </r>
  <r>
    <n v="1117"/>
    <n v="2004"/>
    <n v="3017"/>
    <s v="Matthew Nielsen"/>
    <n v="37"/>
    <s v="Hyderabad"/>
    <s v="Smartphone"/>
    <x v="3"/>
    <n v="4952"/>
    <x v="15"/>
    <n v="2"/>
    <n v="9904"/>
  </r>
  <r>
    <n v="1270"/>
    <n v="2012"/>
    <n v="3028"/>
    <s v="Keith Diaz"/>
    <n v="45"/>
    <s v="Pune"/>
    <s v="Wall Hanging"/>
    <x v="2"/>
    <n v="11867"/>
    <x v="21"/>
    <n v="2"/>
    <n v="23734"/>
  </r>
  <r>
    <n v="1034"/>
    <n v="2019"/>
    <n v="3022"/>
    <s v="Pamela Watson"/>
    <n v="25"/>
    <s v="Kolkata"/>
    <s v="Designer Kurti"/>
    <x v="1"/>
    <n v="13620"/>
    <x v="29"/>
    <n v="1"/>
    <n v="13620"/>
  </r>
  <r>
    <n v="1052"/>
    <n v="2006"/>
    <n v="3025"/>
    <s v="Kristin Ayers"/>
    <n v="38"/>
    <s v="Bangalore"/>
    <s v="Crackers Pack"/>
    <x v="6"/>
    <n v="12060"/>
    <x v="9"/>
    <n v="1"/>
    <n v="12060"/>
  </r>
  <r>
    <n v="1049"/>
    <n v="2023"/>
    <n v="3025"/>
    <s v="Richard Nicholson"/>
    <n v="58"/>
    <s v="Hyderabad"/>
    <s v="Kids Wear"/>
    <x v="1"/>
    <n v="4794"/>
    <x v="5"/>
    <n v="1"/>
    <n v="4794"/>
  </r>
  <r>
    <n v="1271"/>
    <n v="2015"/>
    <n v="3014"/>
    <s v="Alicia Bailey"/>
    <n v="41"/>
    <s v="Bangalore"/>
    <s v="Candle Set"/>
    <x v="2"/>
    <n v="17604"/>
    <x v="28"/>
    <n v="2"/>
    <n v="35208"/>
  </r>
  <r>
    <n v="1101"/>
    <n v="2023"/>
    <n v="3015"/>
    <s v="Ronald Wright"/>
    <n v="46"/>
    <s v="Delhi"/>
    <s v="Kids Wear"/>
    <x v="1"/>
    <n v="4794"/>
    <x v="9"/>
    <n v="3"/>
    <n v="14382"/>
  </r>
  <r>
    <n v="1251"/>
    <n v="2002"/>
    <n v="3002"/>
    <s v="Zachary Browning"/>
    <n v="20"/>
    <s v="Hyderabad"/>
    <s v="Saree"/>
    <x v="1"/>
    <n v="9534"/>
    <x v="2"/>
    <n v="1"/>
    <n v="9534"/>
  </r>
  <r>
    <n v="1127"/>
    <n v="2015"/>
    <n v="3026"/>
    <s v="Tom Irwin"/>
    <n v="38"/>
    <s v="Delhi"/>
    <s v="Candle Set"/>
    <x v="2"/>
    <n v="17604"/>
    <x v="5"/>
    <n v="4"/>
    <n v="70416"/>
  </r>
  <r>
    <n v="1219"/>
    <n v="2019"/>
    <n v="3012"/>
    <s v="Christopher Osborne"/>
    <n v="47"/>
    <s v="Hyderabad"/>
    <s v="Designer Kurti"/>
    <x v="1"/>
    <n v="13620"/>
    <x v="11"/>
    <n v="4"/>
    <n v="54480"/>
  </r>
  <r>
    <n v="1249"/>
    <n v="2020"/>
    <n v="3028"/>
    <s v="Robert Keller"/>
    <n v="22"/>
    <s v="Mumbai"/>
    <s v="Ethnic Jewelry"/>
    <x v="7"/>
    <n v="4495"/>
    <x v="21"/>
    <n v="3"/>
    <n v="13485"/>
  </r>
  <r>
    <n v="1239"/>
    <n v="2015"/>
    <n v="3009"/>
    <s v="Robert Burton"/>
    <n v="32"/>
    <s v="Chennai"/>
    <s v="Candle Set"/>
    <x v="2"/>
    <n v="17604"/>
    <x v="6"/>
    <n v="5"/>
    <n v="88020"/>
  </r>
  <r>
    <n v="1027"/>
    <n v="2024"/>
    <n v="3032"/>
    <s v="Bianca Campbell"/>
    <n v="64"/>
    <s v="Mumbai"/>
    <s v="Perfume Gift Set"/>
    <x v="0"/>
    <n v="16272"/>
    <x v="34"/>
    <n v="2"/>
    <n v="32544"/>
  </r>
  <r>
    <n v="1125"/>
    <n v="2010"/>
    <n v="3032"/>
    <s v="Ashley Hernandez"/>
    <n v="35"/>
    <s v="Hyderabad"/>
    <s v="Chocolate Box"/>
    <x v="4"/>
    <n v="17909"/>
    <x v="7"/>
    <n v="4"/>
    <n v="71636"/>
  </r>
  <r>
    <n v="1037"/>
    <n v="2016"/>
    <n v="3020"/>
    <s v="Donald Wells"/>
    <n v="36"/>
    <s v="Delhi"/>
    <s v="Fairy Lights"/>
    <x v="2"/>
    <n v="12242"/>
    <x v="29"/>
    <n v="5"/>
    <n v="61210"/>
  </r>
  <r>
    <n v="1038"/>
    <n v="2017"/>
    <n v="3026"/>
    <s v="Eric Escobar"/>
    <n v="64"/>
    <s v="Pune"/>
    <s v="Handmade Pottery"/>
    <x v="2"/>
    <n v="8186"/>
    <x v="12"/>
    <n v="4"/>
    <n v="32744"/>
  </r>
  <r>
    <n v="1136"/>
    <n v="2011"/>
    <n v="3009"/>
    <s v="Brooke Oliver"/>
    <n v="30"/>
    <s v="Chennai"/>
    <s v="Festive Thali"/>
    <x v="5"/>
    <n v="7481"/>
    <x v="0"/>
    <n v="4"/>
    <n v="29924"/>
  </r>
  <r>
    <n v="1012"/>
    <n v="2001"/>
    <n v="3026"/>
    <s v="John Dunlap"/>
    <n v="52"/>
    <s v="Delhi"/>
    <s v="Sweets Box"/>
    <x v="4"/>
    <n v="7228"/>
    <x v="10"/>
    <n v="2"/>
    <n v="14456"/>
  </r>
  <r>
    <n v="1298"/>
    <n v="2002"/>
    <n v="3033"/>
    <s v="Kim Smith"/>
    <n v="50"/>
    <s v="Chennai"/>
    <s v="Saree"/>
    <x v="1"/>
    <n v="9534"/>
    <x v="26"/>
    <n v="3"/>
    <n v="28602"/>
  </r>
  <r>
    <n v="1095"/>
    <n v="2008"/>
    <n v="3004"/>
    <s v="Edward Johnson"/>
    <n v="49"/>
    <s v="Kolkata"/>
    <s v="Earthen Diyas"/>
    <x v="2"/>
    <n v="2136"/>
    <x v="4"/>
    <n v="1"/>
    <n v="2136"/>
  </r>
  <r>
    <n v="1121"/>
    <n v="2012"/>
    <n v="3012"/>
    <s v="Vincent Fuller"/>
    <n v="25"/>
    <s v="Delhi"/>
    <s v="Wall Hanging"/>
    <x v="2"/>
    <n v="11867"/>
    <x v="41"/>
    <n v="2"/>
    <n v="23734"/>
  </r>
  <r>
    <n v="1215"/>
    <n v="2021"/>
    <n v="3012"/>
    <s v="Brent Murphy"/>
    <n v="57"/>
    <s v="Hyderabad"/>
    <s v="Smartwatch"/>
    <x v="3"/>
    <n v="17586"/>
    <x v="31"/>
    <n v="2"/>
    <n v="35172"/>
  </r>
  <r>
    <n v="1281"/>
    <n v="2017"/>
    <n v="3021"/>
    <s v="Kristen Richards"/>
    <n v="41"/>
    <s v="Mumbai"/>
    <s v="Handmade Pottery"/>
    <x v="2"/>
    <n v="8186"/>
    <x v="40"/>
    <n v="5"/>
    <n v="40930"/>
  </r>
  <r>
    <n v="1017"/>
    <n v="2011"/>
    <n v="3014"/>
    <s v="Sandra Hamilton"/>
    <n v="39"/>
    <s v="Kolkata"/>
    <s v="Festive Thali"/>
    <x v="5"/>
    <n v="7481"/>
    <x v="29"/>
    <n v="2"/>
    <n v="14962"/>
  </r>
  <r>
    <n v="1270"/>
    <n v="2019"/>
    <n v="3007"/>
    <s v="Keith Diaz"/>
    <n v="45"/>
    <s v="Pune"/>
    <s v="Designer Kurti"/>
    <x v="1"/>
    <n v="13620"/>
    <x v="21"/>
    <n v="2"/>
    <n v="27240"/>
  </r>
  <r>
    <n v="1196"/>
    <n v="2010"/>
    <n v="3013"/>
    <s v="Cynthia Martin"/>
    <n v="20"/>
    <s v="Hyderabad"/>
    <s v="Chocolate Box"/>
    <x v="4"/>
    <n v="17909"/>
    <x v="16"/>
    <n v="2"/>
    <n v="35818"/>
  </r>
  <r>
    <n v="1025"/>
    <n v="2004"/>
    <n v="3035"/>
    <s v="Susan Wheeler"/>
    <n v="36"/>
    <s v="Kolkata"/>
    <s v="Smartphone"/>
    <x v="3"/>
    <n v="4952"/>
    <x v="32"/>
    <n v="2"/>
    <n v="9904"/>
  </r>
  <r>
    <n v="1255"/>
    <n v="2001"/>
    <n v="3009"/>
    <s v="Sarah Day"/>
    <n v="48"/>
    <s v="Mumbai"/>
    <s v="Sweets Box"/>
    <x v="4"/>
    <n v="7228"/>
    <x v="0"/>
    <n v="4"/>
    <n v="28912"/>
  </r>
  <r>
    <n v="1238"/>
    <n v="2019"/>
    <n v="3022"/>
    <s v="Steven Hogan"/>
    <n v="46"/>
    <s v="Chennai"/>
    <s v="Designer Kurti"/>
    <x v="1"/>
    <n v="13620"/>
    <x v="38"/>
    <n v="3"/>
    <n v="40860"/>
  </r>
  <r>
    <n v="1244"/>
    <n v="2022"/>
    <n v="3018"/>
    <s v="Leonard Kim"/>
    <n v="18"/>
    <s v="Hyderabad"/>
    <s v="Home Decor Statue"/>
    <x v="2"/>
    <n v="17149"/>
    <x v="33"/>
    <n v="1"/>
    <n v="17149"/>
  </r>
  <r>
    <n v="1121"/>
    <n v="2018"/>
    <n v="3029"/>
    <s v="Vincent Fuller"/>
    <n v="25"/>
    <s v="Delhi"/>
    <s v="Dry Fruits Pack"/>
    <x v="4"/>
    <n v="7243"/>
    <x v="41"/>
    <n v="2"/>
    <n v="14486"/>
  </r>
  <r>
    <n v="1201"/>
    <n v="2014"/>
    <n v="3025"/>
    <s v="Chelsea Wade"/>
    <n v="34"/>
    <s v="Kolkata"/>
    <s v="Gold Coin"/>
    <x v="7"/>
    <n v="13823"/>
    <x v="5"/>
    <n v="5"/>
    <n v="69115"/>
  </r>
  <r>
    <n v="1060"/>
    <n v="2002"/>
    <n v="3015"/>
    <s v="Kayla Aguilar"/>
    <n v="27"/>
    <s v="Hyderabad"/>
    <s v="Saree"/>
    <x v="1"/>
    <n v="9534"/>
    <x v="25"/>
    <n v="5"/>
    <n v="47670"/>
  </r>
  <r>
    <n v="1201"/>
    <n v="2014"/>
    <n v="3035"/>
    <s v="Chelsea Wade"/>
    <n v="34"/>
    <s v="Kolkata"/>
    <s v="Gold Coin"/>
    <x v="7"/>
    <n v="13823"/>
    <x v="5"/>
    <n v="5"/>
    <n v="69115"/>
  </r>
  <r>
    <n v="1225"/>
    <n v="2006"/>
    <n v="3016"/>
    <s v="Robert Perez"/>
    <n v="39"/>
    <s v="Chennai"/>
    <s v="Crackers Pack"/>
    <x v="6"/>
    <n v="12060"/>
    <x v="36"/>
    <n v="5"/>
    <n v="60300"/>
  </r>
  <r>
    <n v="1119"/>
    <n v="2001"/>
    <n v="3025"/>
    <s v="Javier Calderon"/>
    <n v="45"/>
    <s v="Delhi"/>
    <s v="Sweets Box"/>
    <x v="4"/>
    <n v="7228"/>
    <x v="3"/>
    <n v="4"/>
    <n v="28912"/>
  </r>
  <r>
    <n v="1167"/>
    <n v="2020"/>
    <n v="3025"/>
    <s v="Tracy Hernandez"/>
    <n v="65"/>
    <s v="Bangalore"/>
    <s v="Ethnic Jewelry"/>
    <x v="7"/>
    <n v="4495"/>
    <x v="38"/>
    <n v="3"/>
    <n v="13485"/>
  </r>
  <r>
    <n v="1026"/>
    <n v="2005"/>
    <n v="3015"/>
    <s v="Joshua Clark"/>
    <n v="46"/>
    <s v="Mumbai"/>
    <s v="LED Lamp"/>
    <x v="2"/>
    <n v="3828"/>
    <x v="16"/>
    <n v="1"/>
    <n v="3828"/>
  </r>
  <r>
    <n v="1082"/>
    <n v="2010"/>
    <n v="3021"/>
    <s v="Sharon Phillips"/>
    <n v="43"/>
    <s v="Bangalore"/>
    <s v="Chocolate Box"/>
    <x v="4"/>
    <n v="17909"/>
    <x v="9"/>
    <n v="5"/>
    <n v="89545"/>
  </r>
  <r>
    <n v="1185"/>
    <n v="2007"/>
    <n v="3003"/>
    <s v="Patrick Osborn"/>
    <n v="52"/>
    <s v="Mumbai"/>
    <s v="Gift Hamper"/>
    <x v="4"/>
    <n v="3412"/>
    <x v="14"/>
    <n v="4"/>
    <n v="13648"/>
  </r>
  <r>
    <n v="1156"/>
    <n v="2007"/>
    <n v="3013"/>
    <s v="Matthew Frazier"/>
    <n v="65"/>
    <s v="Bangalore"/>
    <s v="Gift Hamper"/>
    <x v="4"/>
    <n v="3412"/>
    <x v="26"/>
    <n v="1"/>
    <n v="3412"/>
  </r>
  <r>
    <n v="1242"/>
    <n v="2019"/>
    <n v="3015"/>
    <s v="Julie Gonzalez"/>
    <n v="23"/>
    <s v="Mumbai"/>
    <s v="Designer Kurti"/>
    <x v="1"/>
    <n v="13620"/>
    <x v="41"/>
    <n v="5"/>
    <n v="68100"/>
  </r>
  <r>
    <n v="1177"/>
    <n v="2004"/>
    <n v="3013"/>
    <s v="Elizabeth Bryant"/>
    <n v="44"/>
    <s v="Chennai"/>
    <s v="Smartphone"/>
    <x v="3"/>
    <n v="4952"/>
    <x v="14"/>
    <n v="3"/>
    <n v="14856"/>
  </r>
  <r>
    <n v="1031"/>
    <n v="2007"/>
    <n v="3022"/>
    <s v="William Smith"/>
    <n v="46"/>
    <s v="Hyderabad"/>
    <s v="Gift Hamper"/>
    <x v="4"/>
    <n v="3412"/>
    <x v="2"/>
    <n v="1"/>
    <n v="3412"/>
  </r>
  <r>
    <n v="1139"/>
    <n v="2021"/>
    <n v="3006"/>
    <s v="Jeremy Barnes"/>
    <n v="46"/>
    <s v="Delhi"/>
    <s v="Smartwatch"/>
    <x v="3"/>
    <n v="17586"/>
    <x v="17"/>
    <n v="5"/>
    <n v="87930"/>
  </r>
  <r>
    <n v="1223"/>
    <n v="2009"/>
    <n v="3013"/>
    <s v="Barry Wilson"/>
    <n v="54"/>
    <s v="Chennai"/>
    <s v="Bluetooth Speaker"/>
    <x v="3"/>
    <n v="11047"/>
    <x v="20"/>
    <n v="4"/>
    <n v="44188"/>
  </r>
  <r>
    <n v="1229"/>
    <n v="2021"/>
    <n v="3008"/>
    <s v="Susan Barry"/>
    <n v="36"/>
    <s v="Pune"/>
    <s v="Smartwatch"/>
    <x v="3"/>
    <n v="17586"/>
    <x v="37"/>
    <n v="3"/>
    <n v="52758"/>
  </r>
  <r>
    <n v="1034"/>
    <n v="2002"/>
    <n v="3009"/>
    <s v="Pamela Watson"/>
    <n v="25"/>
    <s v="Kolkata"/>
    <s v="Saree"/>
    <x v="1"/>
    <n v="9534"/>
    <x v="29"/>
    <n v="1"/>
    <n v="9534"/>
  </r>
  <r>
    <n v="1029"/>
    <n v="2019"/>
    <n v="3007"/>
    <s v="Leonard Smith"/>
    <n v="49"/>
    <s v="Hyderabad"/>
    <s v="Designer Kurti"/>
    <x v="1"/>
    <n v="13620"/>
    <x v="11"/>
    <n v="2"/>
    <n v="27240"/>
  </r>
  <r>
    <n v="1021"/>
    <n v="2014"/>
    <n v="3023"/>
    <s v="Margaret Harris"/>
    <n v="33"/>
    <s v="Hyderabad"/>
    <s v="Gold Coin"/>
    <x v="7"/>
    <n v="13823"/>
    <x v="2"/>
    <n v="5"/>
    <n v="69115"/>
  </r>
  <r>
    <n v="1018"/>
    <n v="2010"/>
    <n v="3034"/>
    <s v="Mariah Kim"/>
    <n v="34"/>
    <s v="Mumbai"/>
    <s v="Chocolate Box"/>
    <x v="4"/>
    <n v="17909"/>
    <x v="13"/>
    <n v="1"/>
    <n v="17909"/>
  </r>
  <r>
    <n v="1138"/>
    <n v="2005"/>
    <n v="3017"/>
    <s v="Timothy Wells"/>
    <n v="18"/>
    <s v="Hyderabad"/>
    <s v="LED Lamp"/>
    <x v="2"/>
    <n v="3828"/>
    <x v="39"/>
    <n v="1"/>
    <n v="3828"/>
  </r>
  <r>
    <n v="1170"/>
    <n v="2001"/>
    <n v="3027"/>
    <s v="Gerald Sanders"/>
    <n v="52"/>
    <s v="Kolkata"/>
    <s v="Sweets Box"/>
    <x v="4"/>
    <n v="7228"/>
    <x v="5"/>
    <n v="4"/>
    <n v="28912"/>
  </r>
  <r>
    <n v="1176"/>
    <n v="2020"/>
    <n v="3001"/>
    <s v="Brent Smith"/>
    <n v="37"/>
    <s v="Bangalore"/>
    <s v="Ethnic Jewelry"/>
    <x v="7"/>
    <n v="4495"/>
    <x v="25"/>
    <n v="3"/>
    <n v="13485"/>
  </r>
  <r>
    <n v="1076"/>
    <n v="2014"/>
    <n v="3021"/>
    <s v="Daniel Simon"/>
    <n v="28"/>
    <s v="Chennai"/>
    <s v="Gold Coin"/>
    <x v="7"/>
    <n v="13823"/>
    <x v="8"/>
    <n v="1"/>
    <n v="13823"/>
  </r>
  <r>
    <n v="1174"/>
    <n v="2003"/>
    <n v="3013"/>
    <s v="Eric West"/>
    <n v="23"/>
    <s v="Hyderabad"/>
    <s v="Kurta"/>
    <x v="1"/>
    <n v="13241"/>
    <x v="20"/>
    <n v="3"/>
    <n v="39723"/>
  </r>
  <r>
    <n v="1162"/>
    <n v="2006"/>
    <n v="3020"/>
    <s v="Jamie Jarvis"/>
    <n v="38"/>
    <s v="Kolkata"/>
    <s v="Crackers Pack"/>
    <x v="6"/>
    <n v="12060"/>
    <x v="39"/>
    <n v="5"/>
    <n v="60300"/>
  </r>
  <r>
    <n v="1286"/>
    <n v="2008"/>
    <n v="3023"/>
    <s v="Anthony Taylor"/>
    <n v="33"/>
    <s v="Mumbai"/>
    <s v="Earthen Diyas"/>
    <x v="2"/>
    <n v="2136"/>
    <x v="27"/>
    <n v="1"/>
    <n v="2136"/>
  </r>
  <r>
    <n v="1021"/>
    <n v="2015"/>
    <n v="3002"/>
    <s v="Margaret Harris"/>
    <n v="33"/>
    <s v="Hyderabad"/>
    <s v="Candle Set"/>
    <x v="2"/>
    <n v="17604"/>
    <x v="2"/>
    <n v="5"/>
    <n v="88020"/>
  </r>
  <r>
    <n v="1208"/>
    <n v="2006"/>
    <n v="3031"/>
    <s v="Kelly Lee"/>
    <n v="47"/>
    <s v="Delhi"/>
    <s v="Crackers Pack"/>
    <x v="6"/>
    <n v="12060"/>
    <x v="14"/>
    <n v="3"/>
    <n v="36180"/>
  </r>
  <r>
    <n v="1169"/>
    <n v="2021"/>
    <n v="3002"/>
    <s v="Antonio Mora"/>
    <n v="37"/>
    <s v="Delhi"/>
    <s v="Smartwatch"/>
    <x v="3"/>
    <n v="17586"/>
    <x v="14"/>
    <n v="3"/>
    <n v="52758"/>
  </r>
  <r>
    <n v="1143"/>
    <n v="2008"/>
    <n v="3029"/>
    <s v="Corey Kidd"/>
    <n v="58"/>
    <s v="Hyderabad"/>
    <s v="Earthen Diyas"/>
    <x v="2"/>
    <n v="2136"/>
    <x v="1"/>
    <n v="5"/>
    <n v="10680"/>
  </r>
  <r>
    <n v="1224"/>
    <n v="2016"/>
    <n v="3035"/>
    <s v="Joseph Garrett"/>
    <n v="58"/>
    <s v="Pune"/>
    <s v="Fairy Lights"/>
    <x v="2"/>
    <n v="12242"/>
    <x v="35"/>
    <n v="2"/>
    <n v="24484"/>
  </r>
  <r>
    <n v="1279"/>
    <n v="2020"/>
    <n v="3034"/>
    <s v="Erin Mann"/>
    <n v="52"/>
    <s v="Delhi"/>
    <s v="Ethnic Jewelry"/>
    <x v="7"/>
    <n v="4495"/>
    <x v="16"/>
    <n v="5"/>
    <n v="22475"/>
  </r>
  <r>
    <n v="1264"/>
    <n v="2019"/>
    <n v="3002"/>
    <s v="Stephanie King"/>
    <n v="41"/>
    <s v="Mumbai"/>
    <s v="Designer Kurti"/>
    <x v="1"/>
    <n v="13620"/>
    <x v="25"/>
    <n v="2"/>
    <n v="27240"/>
  </r>
  <r>
    <n v="1295"/>
    <n v="2011"/>
    <n v="3030"/>
    <s v="Alicia Wallace"/>
    <n v="34"/>
    <s v="Mumbai"/>
    <s v="Festive Thali"/>
    <x v="5"/>
    <n v="7481"/>
    <x v="6"/>
    <n v="2"/>
    <n v="14962"/>
  </r>
  <r>
    <n v="1272"/>
    <n v="2003"/>
    <n v="3001"/>
    <s v="John Miller"/>
    <n v="39"/>
    <s v="Kolkata"/>
    <s v="Kurta"/>
    <x v="1"/>
    <n v="13241"/>
    <x v="13"/>
    <n v="2"/>
    <n v="26482"/>
  </r>
  <r>
    <n v="1220"/>
    <n v="2018"/>
    <n v="3026"/>
    <s v="Desiree Reed"/>
    <n v="29"/>
    <s v="Hyderabad"/>
    <s v="Dry Fruits Pack"/>
    <x v="4"/>
    <n v="7243"/>
    <x v="17"/>
    <n v="2"/>
    <n v="14486"/>
  </r>
  <r>
    <n v="1171"/>
    <n v="2020"/>
    <n v="3026"/>
    <s v="Brandon Graves"/>
    <n v="43"/>
    <s v="Delhi"/>
    <s v="Ethnic Jewelry"/>
    <x v="7"/>
    <n v="4495"/>
    <x v="40"/>
    <n v="1"/>
    <n v="4495"/>
  </r>
  <r>
    <n v="1028"/>
    <n v="2015"/>
    <n v="3022"/>
    <s v="Sandra Parker"/>
    <n v="61"/>
    <s v="Mumbai"/>
    <s v="Candle Set"/>
    <x v="2"/>
    <n v="17604"/>
    <x v="37"/>
    <n v="2"/>
    <n v="35208"/>
  </r>
  <r>
    <n v="1110"/>
    <n v="2017"/>
    <n v="3030"/>
    <s v="Michelle Hardin"/>
    <n v="64"/>
    <s v="Delhi"/>
    <s v="Handmade Pottery"/>
    <x v="2"/>
    <n v="8186"/>
    <x v="18"/>
    <n v="3"/>
    <n v="24558"/>
  </r>
  <r>
    <n v="1011"/>
    <n v="2014"/>
    <n v="3034"/>
    <s v="Lindsey West"/>
    <n v="19"/>
    <s v="Hyderabad"/>
    <s v="Gold Coin"/>
    <x v="7"/>
    <n v="13823"/>
    <x v="21"/>
    <n v="3"/>
    <n v="41469"/>
  </r>
  <r>
    <n v="1030"/>
    <n v="2017"/>
    <n v="3014"/>
    <s v="Andrea Hines"/>
    <n v="49"/>
    <s v="Bangalore"/>
    <s v="Handmade Pottery"/>
    <x v="2"/>
    <n v="8186"/>
    <x v="16"/>
    <n v="4"/>
    <n v="32744"/>
  </r>
  <r>
    <n v="1271"/>
    <n v="2013"/>
    <n v="3022"/>
    <s v="Alicia Bailey"/>
    <n v="41"/>
    <s v="Bangalore"/>
    <s v="Silver Coin"/>
    <x v="7"/>
    <n v="11845"/>
    <x v="28"/>
    <n v="2"/>
    <n v="23690"/>
  </r>
  <r>
    <n v="1151"/>
    <n v="2021"/>
    <n v="3003"/>
    <s v="Cynthia Simpson"/>
    <n v="58"/>
    <s v="Delhi"/>
    <s v="Smartwatch"/>
    <x v="3"/>
    <n v="17586"/>
    <x v="20"/>
    <n v="4"/>
    <n v="70344"/>
  </r>
  <r>
    <n v="1255"/>
    <n v="2008"/>
    <n v="3002"/>
    <s v="Sarah Day"/>
    <n v="48"/>
    <s v="Mumbai"/>
    <s v="Earthen Diyas"/>
    <x v="2"/>
    <n v="2136"/>
    <x v="0"/>
    <n v="4"/>
    <n v="8544"/>
  </r>
  <r>
    <n v="1222"/>
    <n v="2011"/>
    <n v="3026"/>
    <s v="Frank Johnson"/>
    <n v="39"/>
    <s v="Mumbai"/>
    <s v="Festive Thali"/>
    <x v="5"/>
    <n v="7481"/>
    <x v="3"/>
    <n v="4"/>
    <n v="29924"/>
  </r>
  <r>
    <n v="1012"/>
    <n v="2018"/>
    <n v="3027"/>
    <s v="John Dunlap"/>
    <n v="52"/>
    <s v="Delhi"/>
    <s v="Dry Fruits Pack"/>
    <x v="4"/>
    <n v="7243"/>
    <x v="10"/>
    <n v="2"/>
    <n v="14486"/>
  </r>
  <r>
    <n v="1166"/>
    <n v="2010"/>
    <n v="3004"/>
    <s v="Susan Mooney"/>
    <n v="48"/>
    <s v="Delhi"/>
    <s v="Chocolate Box"/>
    <x v="4"/>
    <n v="17909"/>
    <x v="20"/>
    <n v="1"/>
    <n v="17909"/>
  </r>
  <r>
    <n v="1038"/>
    <n v="2012"/>
    <n v="3016"/>
    <s v="Eric Escobar"/>
    <n v="64"/>
    <s v="Pune"/>
    <s v="Wall Hanging"/>
    <x v="2"/>
    <n v="11867"/>
    <x v="12"/>
    <n v="4"/>
    <n v="47468"/>
  </r>
  <r>
    <n v="1034"/>
    <n v="2004"/>
    <n v="3012"/>
    <s v="Pamela Watson"/>
    <n v="25"/>
    <s v="Kolkata"/>
    <s v="Smartphone"/>
    <x v="3"/>
    <n v="4952"/>
    <x v="29"/>
    <n v="1"/>
    <n v="4952"/>
  </r>
  <r>
    <n v="1094"/>
    <n v="2023"/>
    <n v="3014"/>
    <s v="Amanda Craig"/>
    <n v="57"/>
    <s v="Delhi"/>
    <s v="Kids Wear"/>
    <x v="1"/>
    <n v="4794"/>
    <x v="4"/>
    <n v="1"/>
    <n v="4794"/>
  </r>
  <r>
    <n v="1075"/>
    <n v="2006"/>
    <n v="3019"/>
    <s v="Alexa Potts"/>
    <n v="44"/>
    <s v="Bangalore"/>
    <s v="Crackers Pack"/>
    <x v="6"/>
    <n v="12060"/>
    <x v="2"/>
    <n v="1"/>
    <n v="12060"/>
  </r>
  <r>
    <n v="1031"/>
    <n v="2019"/>
    <n v="3018"/>
    <s v="William Smith"/>
    <n v="46"/>
    <s v="Hyderabad"/>
    <s v="Designer Kurti"/>
    <x v="1"/>
    <n v="13620"/>
    <x v="2"/>
    <n v="1"/>
    <n v="13620"/>
  </r>
  <r>
    <n v="1067"/>
    <n v="2005"/>
    <n v="3001"/>
    <s v="Carrie Landry"/>
    <n v="39"/>
    <s v="Bangalore"/>
    <s v="LED Lamp"/>
    <x v="2"/>
    <n v="3828"/>
    <x v="27"/>
    <n v="5"/>
    <n v="19140"/>
  </r>
  <r>
    <n v="1295"/>
    <n v="2024"/>
    <n v="3029"/>
    <s v="Alicia Wallace"/>
    <n v="34"/>
    <s v="Mumbai"/>
    <s v="Perfume Gift Set"/>
    <x v="0"/>
    <n v="16272"/>
    <x v="6"/>
    <n v="2"/>
    <n v="32544"/>
  </r>
  <r>
    <n v="1142"/>
    <n v="2002"/>
    <n v="3014"/>
    <s v="Derek Coffey"/>
    <n v="21"/>
    <s v="Chennai"/>
    <s v="Saree"/>
    <x v="1"/>
    <n v="9534"/>
    <x v="25"/>
    <n v="5"/>
    <n v="47670"/>
  </r>
  <r>
    <n v="1004"/>
    <n v="2018"/>
    <n v="3034"/>
    <s v="Holly Hopkins"/>
    <n v="65"/>
    <s v="Mumbai"/>
    <s v="Dry Fruits Pack"/>
    <x v="4"/>
    <n v="7243"/>
    <x v="31"/>
    <n v="2"/>
    <n v="14486"/>
  </r>
  <r>
    <n v="1215"/>
    <n v="2003"/>
    <n v="3018"/>
    <s v="Brent Murphy"/>
    <n v="57"/>
    <s v="Hyderabad"/>
    <s v="Kurta"/>
    <x v="1"/>
    <n v="13241"/>
    <x v="31"/>
    <n v="2"/>
    <n v="26482"/>
  </r>
  <r>
    <n v="1281"/>
    <n v="2025"/>
    <n v="3031"/>
    <s v="Kristen Richards"/>
    <n v="41"/>
    <s v="Mumbai"/>
    <s v="Handbag"/>
    <x v="0"/>
    <n v="17019"/>
    <x v="40"/>
    <n v="5"/>
    <n v="85095"/>
  </r>
  <r>
    <n v="1003"/>
    <n v="2016"/>
    <n v="3014"/>
    <s v="Amanda Miller"/>
    <n v="22"/>
    <s v="Chennai"/>
    <s v="Fairy Lights"/>
    <x v="2"/>
    <n v="12242"/>
    <x v="15"/>
    <n v="4"/>
    <n v="48968"/>
  </r>
  <r>
    <n v="1005"/>
    <n v="2007"/>
    <n v="3002"/>
    <s v="Nathan Porter"/>
    <n v="49"/>
    <s v="Mumbai"/>
    <s v="Gift Hamper"/>
    <x v="4"/>
    <n v="3412"/>
    <x v="12"/>
    <n v="4"/>
    <n v="13648"/>
  </r>
  <r>
    <n v="1231"/>
    <n v="2004"/>
    <n v="3021"/>
    <s v="William Campbell"/>
    <n v="37"/>
    <s v="Hyderabad"/>
    <s v="Smartphone"/>
    <x v="3"/>
    <n v="4952"/>
    <x v="37"/>
    <n v="3"/>
    <n v="14856"/>
  </r>
  <r>
    <n v="1146"/>
    <n v="2015"/>
    <n v="3027"/>
    <s v="Angela Martin"/>
    <n v="61"/>
    <s v="Bangalore"/>
    <s v="Candle Set"/>
    <x v="2"/>
    <n v="17604"/>
    <x v="17"/>
    <n v="1"/>
    <n v="17604"/>
  </r>
  <r>
    <n v="1291"/>
    <n v="2024"/>
    <n v="3035"/>
    <s v="Mr. Robert Lee"/>
    <n v="45"/>
    <s v="Pune"/>
    <s v="Perfume Gift Set"/>
    <x v="0"/>
    <n v="16272"/>
    <x v="5"/>
    <n v="1"/>
    <n v="16272"/>
  </r>
  <r>
    <n v="1087"/>
    <n v="2004"/>
    <n v="3021"/>
    <s v="Jared Romero"/>
    <n v="26"/>
    <s v="Hyderabad"/>
    <s v="Smartphone"/>
    <x v="3"/>
    <n v="4952"/>
    <x v="10"/>
    <n v="5"/>
    <n v="24760"/>
  </r>
  <r>
    <n v="1035"/>
    <n v="2006"/>
    <n v="3009"/>
    <s v="Debra Robinson"/>
    <n v="39"/>
    <s v="Bangalore"/>
    <s v="Crackers Pack"/>
    <x v="6"/>
    <n v="12060"/>
    <x v="13"/>
    <n v="4"/>
    <n v="48240"/>
  </r>
  <r>
    <n v="1120"/>
    <n v="2023"/>
    <n v="3013"/>
    <s v="Tracey Gibson"/>
    <n v="57"/>
    <s v="Mumbai"/>
    <s v="Kids Wear"/>
    <x v="1"/>
    <n v="4794"/>
    <x v="3"/>
    <n v="4"/>
    <n v="19176"/>
  </r>
  <r>
    <n v="1169"/>
    <n v="2005"/>
    <n v="3008"/>
    <s v="Antonio Mora"/>
    <n v="37"/>
    <s v="Delhi"/>
    <s v="LED Lamp"/>
    <x v="2"/>
    <n v="3828"/>
    <x v="14"/>
    <n v="3"/>
    <n v="11484"/>
  </r>
  <r>
    <n v="1287"/>
    <n v="2019"/>
    <n v="3001"/>
    <s v="David White"/>
    <n v="29"/>
    <s v="Pune"/>
    <s v="Designer Kurti"/>
    <x v="1"/>
    <n v="13620"/>
    <x v="15"/>
    <n v="5"/>
    <n v="68100"/>
  </r>
  <r>
    <n v="1115"/>
    <n v="2007"/>
    <n v="3012"/>
    <s v="Valerie Winters"/>
    <n v="61"/>
    <s v="Delhi"/>
    <s v="Gift Hamper"/>
    <x v="4"/>
    <n v="3412"/>
    <x v="1"/>
    <n v="4"/>
    <n v="13648"/>
  </r>
  <r>
    <n v="1143"/>
    <n v="2004"/>
    <n v="3001"/>
    <s v="Corey Kidd"/>
    <n v="58"/>
    <s v="Hyderabad"/>
    <s v="Smartphone"/>
    <x v="3"/>
    <n v="4952"/>
    <x v="1"/>
    <n v="5"/>
    <n v="24760"/>
  </r>
  <r>
    <n v="1105"/>
    <n v="2001"/>
    <n v="3031"/>
    <s v="Randall Odonnell"/>
    <n v="33"/>
    <s v="Mumbai"/>
    <s v="Sweets Box"/>
    <x v="4"/>
    <n v="7228"/>
    <x v="5"/>
    <n v="1"/>
    <n v="7228"/>
  </r>
  <r>
    <n v="1138"/>
    <n v="2012"/>
    <n v="3007"/>
    <s v="Timothy Wells"/>
    <n v="18"/>
    <s v="Hyderabad"/>
    <s v="Wall Hanging"/>
    <x v="2"/>
    <n v="11867"/>
    <x v="39"/>
    <n v="1"/>
    <n v="11867"/>
  </r>
  <r>
    <n v="1245"/>
    <n v="2021"/>
    <n v="3023"/>
    <s v="Donna Wheeler"/>
    <n v="61"/>
    <s v="Hyderabad"/>
    <s v="Smartwatch"/>
    <x v="3"/>
    <n v="17586"/>
    <x v="6"/>
    <n v="4"/>
    <n v="70344"/>
  </r>
  <r>
    <n v="1055"/>
    <n v="2024"/>
    <n v="3020"/>
    <s v="Tina Armstrong"/>
    <n v="44"/>
    <s v="Mumbai"/>
    <s v="Perfume Gift Set"/>
    <x v="0"/>
    <n v="16272"/>
    <x v="24"/>
    <n v="1"/>
    <n v="16272"/>
  </r>
  <r>
    <n v="1081"/>
    <n v="2016"/>
    <n v="3007"/>
    <s v="Lori Cox"/>
    <n v="59"/>
    <s v="Mumbai"/>
    <s v="Fairy Lights"/>
    <x v="2"/>
    <n v="12242"/>
    <x v="15"/>
    <n v="4"/>
    <n v="48968"/>
  </r>
  <r>
    <n v="1090"/>
    <n v="2023"/>
    <n v="3032"/>
    <s v="Colleen Aguilar"/>
    <n v="55"/>
    <s v="Mumbai"/>
    <s v="Kids Wear"/>
    <x v="1"/>
    <n v="4794"/>
    <x v="25"/>
    <n v="3"/>
    <n v="14382"/>
  </r>
  <r>
    <n v="1258"/>
    <n v="2006"/>
    <n v="3009"/>
    <s v="Corey Lewis"/>
    <n v="39"/>
    <s v="Delhi"/>
    <s v="Crackers Pack"/>
    <x v="6"/>
    <n v="12060"/>
    <x v="30"/>
    <n v="2"/>
    <n v="24120"/>
  </r>
  <r>
    <n v="1232"/>
    <n v="2018"/>
    <n v="3023"/>
    <s v="Joshua Craig"/>
    <n v="29"/>
    <s v="Pune"/>
    <s v="Dry Fruits Pack"/>
    <x v="4"/>
    <n v="7243"/>
    <x v="35"/>
    <n v="1"/>
    <n v="7243"/>
  </r>
  <r>
    <n v="1090"/>
    <n v="2011"/>
    <n v="3030"/>
    <s v="Colleen Aguilar"/>
    <n v="55"/>
    <s v="Mumbai"/>
    <s v="Festive Thali"/>
    <x v="5"/>
    <n v="7481"/>
    <x v="25"/>
    <n v="3"/>
    <n v="22443"/>
  </r>
  <r>
    <n v="1063"/>
    <n v="2022"/>
    <n v="3023"/>
    <s v="Michael Williams"/>
    <n v="60"/>
    <s v="Mumbai"/>
    <s v="Home Decor Statue"/>
    <x v="2"/>
    <n v="17149"/>
    <x v="31"/>
    <n v="5"/>
    <n v="85745"/>
  </r>
  <r>
    <n v="1104"/>
    <n v="2010"/>
    <n v="3007"/>
    <s v="Gabriel Mcdonald"/>
    <n v="50"/>
    <s v="Hyderabad"/>
    <s v="Chocolate Box"/>
    <x v="4"/>
    <n v="17909"/>
    <x v="28"/>
    <n v="1"/>
    <n v="17909"/>
  </r>
  <r>
    <n v="1267"/>
    <n v="2004"/>
    <n v="3012"/>
    <s v="Sharon Cannon"/>
    <n v="55"/>
    <s v="Mumbai"/>
    <s v="Smartphone"/>
    <x v="3"/>
    <n v="4952"/>
    <x v="1"/>
    <n v="3"/>
    <n v="14856"/>
  </r>
  <r>
    <n v="1146"/>
    <n v="2016"/>
    <n v="3002"/>
    <s v="Angela Martin"/>
    <n v="61"/>
    <s v="Bangalore"/>
    <s v="Fairy Lights"/>
    <x v="2"/>
    <n v="12242"/>
    <x v="17"/>
    <n v="1"/>
    <n v="12242"/>
  </r>
  <r>
    <n v="1258"/>
    <n v="2003"/>
    <n v="3021"/>
    <s v="Corey Lewis"/>
    <n v="39"/>
    <s v="Delhi"/>
    <s v="Kurta"/>
    <x v="1"/>
    <n v="13241"/>
    <x v="30"/>
    <n v="2"/>
    <n v="26482"/>
  </r>
  <r>
    <n v="1229"/>
    <n v="2012"/>
    <n v="3020"/>
    <s v="Susan Barry"/>
    <n v="36"/>
    <s v="Pune"/>
    <s v="Wall Hanging"/>
    <x v="2"/>
    <n v="11867"/>
    <x v="37"/>
    <n v="3"/>
    <n v="35601"/>
  </r>
  <r>
    <n v="1119"/>
    <n v="2022"/>
    <n v="3014"/>
    <s v="Javier Calderon"/>
    <n v="45"/>
    <s v="Delhi"/>
    <s v="Home Decor Statue"/>
    <x v="2"/>
    <n v="17149"/>
    <x v="3"/>
    <n v="4"/>
    <n v="68596"/>
  </r>
  <r>
    <n v="1020"/>
    <n v="2017"/>
    <n v="3018"/>
    <s v="Mallory Jackson"/>
    <n v="60"/>
    <s v="Kolkata"/>
    <s v="Handmade Pottery"/>
    <x v="2"/>
    <n v="8186"/>
    <x v="13"/>
    <n v="4"/>
    <n v="32744"/>
  </r>
  <r>
    <n v="1197"/>
    <n v="2019"/>
    <n v="3019"/>
    <s v="Daniel Price"/>
    <n v="25"/>
    <s v="Kolkata"/>
    <s v="Designer Kurti"/>
    <x v="1"/>
    <n v="13620"/>
    <x v="2"/>
    <n v="5"/>
    <n v="68100"/>
  </r>
  <r>
    <n v="1189"/>
    <n v="2001"/>
    <n v="3014"/>
    <s v="Kaitlyn Hickman"/>
    <n v="21"/>
    <s v="Delhi"/>
    <s v="Sweets Box"/>
    <x v="4"/>
    <n v="7228"/>
    <x v="30"/>
    <n v="2"/>
    <n v="14456"/>
  </r>
  <r>
    <n v="1108"/>
    <n v="2003"/>
    <n v="3011"/>
    <s v="Briana Jordan"/>
    <n v="39"/>
    <s v="Hyderabad"/>
    <s v="Kurta"/>
    <x v="1"/>
    <n v="13241"/>
    <x v="15"/>
    <n v="5"/>
    <n v="66205"/>
  </r>
  <r>
    <n v="1154"/>
    <n v="2015"/>
    <n v="3032"/>
    <s v="Kristin Davis"/>
    <n v="43"/>
    <s v="Hyderabad"/>
    <s v="Candle Set"/>
    <x v="2"/>
    <n v="17604"/>
    <x v="22"/>
    <n v="1"/>
    <n v="17604"/>
  </r>
  <r>
    <n v="1285"/>
    <n v="2006"/>
    <n v="3024"/>
    <s v="Deborah Hill"/>
    <n v="47"/>
    <s v="Delhi"/>
    <s v="Crackers Pack"/>
    <x v="6"/>
    <n v="12060"/>
    <x v="29"/>
    <n v="4"/>
    <n v="48240"/>
  </r>
  <r>
    <n v="1298"/>
    <n v="2006"/>
    <n v="3017"/>
    <s v="Kim Smith"/>
    <n v="50"/>
    <s v="Chennai"/>
    <s v="Crackers Pack"/>
    <x v="6"/>
    <n v="12060"/>
    <x v="26"/>
    <n v="3"/>
    <n v="36180"/>
  </r>
  <r>
    <n v="1146"/>
    <n v="2023"/>
    <n v="3026"/>
    <s v="Angela Martin"/>
    <n v="61"/>
    <s v="Bangalore"/>
    <s v="Kids Wear"/>
    <x v="1"/>
    <n v="4794"/>
    <x v="17"/>
    <n v="1"/>
    <n v="4794"/>
  </r>
  <r>
    <n v="1128"/>
    <n v="2008"/>
    <n v="3008"/>
    <s v="Thomas Pennington"/>
    <n v="49"/>
    <s v="Pune"/>
    <s v="Earthen Diyas"/>
    <x v="2"/>
    <n v="2136"/>
    <x v="9"/>
    <n v="3"/>
    <n v="6408"/>
  </r>
  <r>
    <n v="1175"/>
    <n v="2010"/>
    <n v="3015"/>
    <s v="Jeffrey Smith"/>
    <n v="51"/>
    <s v="Kolkata"/>
    <s v="Chocolate Box"/>
    <x v="4"/>
    <n v="17909"/>
    <x v="16"/>
    <n v="4"/>
    <n v="71636"/>
  </r>
  <r>
    <n v="1061"/>
    <n v="2016"/>
    <n v="3017"/>
    <s v="Alexander Gonzalez"/>
    <n v="53"/>
    <s v="Pune"/>
    <s v="Fairy Lights"/>
    <x v="2"/>
    <n v="12242"/>
    <x v="31"/>
    <n v="3"/>
    <n v="36726"/>
  </r>
  <r>
    <n v="1017"/>
    <n v="2022"/>
    <n v="3029"/>
    <s v="Sandra Hamilton"/>
    <n v="39"/>
    <s v="Kolkata"/>
    <s v="Home Decor Statue"/>
    <x v="2"/>
    <n v="17149"/>
    <x v="29"/>
    <n v="2"/>
    <n v="34298"/>
  </r>
  <r>
    <n v="1018"/>
    <n v="2005"/>
    <n v="3029"/>
    <s v="Mariah Kim"/>
    <n v="34"/>
    <s v="Mumbai"/>
    <s v="LED Lamp"/>
    <x v="2"/>
    <n v="3828"/>
    <x v="13"/>
    <n v="1"/>
    <n v="3828"/>
  </r>
  <r>
    <n v="1280"/>
    <n v="2020"/>
    <n v="3014"/>
    <s v="Jesse Jones"/>
    <n v="22"/>
    <s v="Mumbai"/>
    <s v="Ethnic Jewelry"/>
    <x v="7"/>
    <n v="4495"/>
    <x v="2"/>
    <n v="2"/>
    <n v="8990"/>
  </r>
  <r>
    <n v="1107"/>
    <n v="2024"/>
    <n v="3009"/>
    <s v="Crystal Wilson"/>
    <n v="53"/>
    <s v="Hyderabad"/>
    <s v="Perfume Gift Set"/>
    <x v="0"/>
    <n v="16272"/>
    <x v="30"/>
    <n v="2"/>
    <n v="32544"/>
  </r>
  <r>
    <n v="1022"/>
    <n v="2016"/>
    <n v="3012"/>
    <s v="Juan Foster"/>
    <n v="61"/>
    <s v="Kolkata"/>
    <s v="Fairy Lights"/>
    <x v="2"/>
    <n v="12242"/>
    <x v="2"/>
    <n v="2"/>
    <n v="24484"/>
  </r>
  <r>
    <n v="1029"/>
    <n v="2014"/>
    <n v="3019"/>
    <s v="Leonard Smith"/>
    <n v="49"/>
    <s v="Hyderabad"/>
    <s v="Gold Coin"/>
    <x v="7"/>
    <n v="13823"/>
    <x v="11"/>
    <n v="2"/>
    <n v="27646"/>
  </r>
  <r>
    <n v="1103"/>
    <n v="2018"/>
    <n v="3012"/>
    <s v="Glenn Cook"/>
    <n v="58"/>
    <s v="Kolkata"/>
    <s v="Dry Fruits Pack"/>
    <x v="4"/>
    <n v="7243"/>
    <x v="14"/>
    <n v="2"/>
    <n v="14486"/>
  </r>
  <r>
    <n v="1236"/>
    <n v="2004"/>
    <n v="3029"/>
    <s v="Kimberly Clay"/>
    <n v="60"/>
    <s v="Delhi"/>
    <s v="Smartphone"/>
    <x v="3"/>
    <n v="4952"/>
    <x v="15"/>
    <n v="3"/>
    <n v="14856"/>
  </r>
  <r>
    <n v="1084"/>
    <n v="2013"/>
    <n v="3032"/>
    <s v="Sharon Baker"/>
    <n v="48"/>
    <s v="Chennai"/>
    <s v="Silver Coin"/>
    <x v="7"/>
    <n v="11845"/>
    <x v="9"/>
    <n v="2"/>
    <n v="23690"/>
  </r>
  <r>
    <n v="1171"/>
    <n v="2005"/>
    <n v="3029"/>
    <s v="Brandon Graves"/>
    <n v="43"/>
    <s v="Delhi"/>
    <s v="LED Lamp"/>
    <x v="2"/>
    <n v="3828"/>
    <x v="40"/>
    <n v="1"/>
    <n v="3828"/>
  </r>
  <r>
    <n v="1078"/>
    <n v="2007"/>
    <n v="3035"/>
    <s v="Jerry Newman"/>
    <n v="19"/>
    <s v="Delhi"/>
    <s v="Gift Hamper"/>
    <x v="4"/>
    <n v="3412"/>
    <x v="13"/>
    <n v="5"/>
    <n v="17060"/>
  </r>
  <r>
    <n v="1199"/>
    <n v="2016"/>
    <n v="3013"/>
    <s v="Sheila Warner"/>
    <n v="26"/>
    <s v="Bangalore"/>
    <s v="Fairy Lights"/>
    <x v="2"/>
    <n v="12242"/>
    <x v="19"/>
    <n v="3"/>
    <n v="36726"/>
  </r>
  <r>
    <n v="1186"/>
    <n v="2017"/>
    <n v="3022"/>
    <s v="Molly Hansen"/>
    <n v="50"/>
    <s v="Chennai"/>
    <s v="Handmade Pottery"/>
    <x v="2"/>
    <n v="8186"/>
    <x v="12"/>
    <n v="5"/>
    <n v="40930"/>
  </r>
  <r>
    <n v="1080"/>
    <n v="2023"/>
    <n v="3024"/>
    <s v="Colleen Underwood"/>
    <n v="23"/>
    <s v="Hyderabad"/>
    <s v="Kids Wear"/>
    <x v="1"/>
    <n v="4794"/>
    <x v="7"/>
    <n v="4"/>
    <n v="19176"/>
  </r>
  <r>
    <n v="1052"/>
    <n v="2007"/>
    <n v="3026"/>
    <s v="Kristin Ayers"/>
    <n v="38"/>
    <s v="Bangalore"/>
    <s v="Gift Hamper"/>
    <x v="4"/>
    <n v="3412"/>
    <x v="9"/>
    <n v="1"/>
    <n v="3412"/>
  </r>
  <r>
    <n v="1002"/>
    <n v="2005"/>
    <n v="3024"/>
    <s v="Scott Chen"/>
    <n v="21"/>
    <s v="Mumbai"/>
    <s v="LED Lamp"/>
    <x v="2"/>
    <n v="3828"/>
    <x v="15"/>
    <n v="5"/>
    <n v="19140"/>
  </r>
  <r>
    <n v="1063"/>
    <n v="2018"/>
    <n v="3033"/>
    <s v="Michael Williams"/>
    <n v="60"/>
    <s v="Mumbai"/>
    <s v="Dry Fruits Pack"/>
    <x v="4"/>
    <n v="7243"/>
    <x v="31"/>
    <n v="5"/>
    <n v="36215"/>
  </r>
  <r>
    <n v="1032"/>
    <n v="2014"/>
    <n v="3007"/>
    <s v="Robert Williams"/>
    <n v="63"/>
    <s v="Delhi"/>
    <s v="Gold Coin"/>
    <x v="7"/>
    <n v="13823"/>
    <x v="41"/>
    <n v="1"/>
    <n v="13823"/>
  </r>
  <r>
    <n v="1299"/>
    <n v="2019"/>
    <n v="3023"/>
    <s v="Alison Collins"/>
    <n v="29"/>
    <s v="Pune"/>
    <s v="Designer Kurti"/>
    <x v="1"/>
    <n v="13620"/>
    <x v="19"/>
    <n v="2"/>
    <n v="27240"/>
  </r>
  <r>
    <n v="1262"/>
    <n v="2021"/>
    <n v="3017"/>
    <s v="Ricardo Lewis Phd"/>
    <n v="27"/>
    <s v="Hyderabad"/>
    <s v="Smartwatch"/>
    <x v="3"/>
    <n v="17586"/>
    <x v="16"/>
    <n v="1"/>
    <n v="17586"/>
  </r>
  <r>
    <n v="1198"/>
    <n v="2021"/>
    <n v="3034"/>
    <s v="Eric Lopez"/>
    <n v="60"/>
    <s v="Bangalore"/>
    <s v="Smartwatch"/>
    <x v="3"/>
    <n v="17586"/>
    <x v="21"/>
    <n v="1"/>
    <n v="17586"/>
  </r>
  <r>
    <n v="1120"/>
    <n v="2012"/>
    <n v="3033"/>
    <s v="Tracey Gibson"/>
    <n v="57"/>
    <s v="Mumbai"/>
    <s v="Wall Hanging"/>
    <x v="2"/>
    <n v="11867"/>
    <x v="3"/>
    <n v="4"/>
    <n v="47468"/>
  </r>
  <r>
    <n v="1047"/>
    <n v="2011"/>
    <n v="3014"/>
    <s v="Lynn Henderson"/>
    <n v="40"/>
    <s v="Delhi"/>
    <s v="Festive Thali"/>
    <x v="5"/>
    <n v="7481"/>
    <x v="5"/>
    <n v="5"/>
    <n v="37405"/>
  </r>
  <r>
    <n v="1160"/>
    <n v="2019"/>
    <n v="3024"/>
    <s v="Adam Morris"/>
    <n v="26"/>
    <s v="Hyderabad"/>
    <s v="Designer Kurti"/>
    <x v="1"/>
    <n v="13620"/>
    <x v="34"/>
    <n v="5"/>
    <n v="68100"/>
  </r>
  <r>
    <n v="1053"/>
    <n v="2015"/>
    <n v="3023"/>
    <s v="Brandon Martin"/>
    <n v="52"/>
    <s v="Kolkata"/>
    <s v="Candle Set"/>
    <x v="2"/>
    <n v="17604"/>
    <x v="12"/>
    <n v="3"/>
    <n v="52812"/>
  </r>
  <r>
    <n v="1174"/>
    <n v="2021"/>
    <n v="3002"/>
    <s v="Eric West"/>
    <n v="23"/>
    <s v="Hyderabad"/>
    <s v="Smartwatch"/>
    <x v="3"/>
    <n v="17586"/>
    <x v="20"/>
    <n v="3"/>
    <n v="52758"/>
  </r>
  <r>
    <n v="1290"/>
    <n v="2002"/>
    <n v="3017"/>
    <s v="James Mclean"/>
    <n v="19"/>
    <s v="Chennai"/>
    <s v="Saree"/>
    <x v="1"/>
    <n v="9534"/>
    <x v="9"/>
    <n v="4"/>
    <n v="38136"/>
  </r>
  <r>
    <n v="1175"/>
    <n v="2022"/>
    <n v="3019"/>
    <s v="Jeffrey Smith"/>
    <n v="51"/>
    <s v="Kolkata"/>
    <s v="Home Decor Statue"/>
    <x v="2"/>
    <n v="17149"/>
    <x v="16"/>
    <n v="4"/>
    <n v="68596"/>
  </r>
  <r>
    <n v="1244"/>
    <n v="2014"/>
    <n v="3004"/>
    <s v="Leonard Kim"/>
    <n v="18"/>
    <s v="Hyderabad"/>
    <s v="Gold Coin"/>
    <x v="7"/>
    <n v="13823"/>
    <x v="33"/>
    <n v="1"/>
    <n v="13823"/>
  </r>
  <r>
    <n v="1061"/>
    <n v="2006"/>
    <n v="3028"/>
    <s v="Alexander Gonzalez"/>
    <n v="53"/>
    <s v="Pune"/>
    <s v="Crackers Pack"/>
    <x v="6"/>
    <n v="12060"/>
    <x v="31"/>
    <n v="3"/>
    <n v="36180"/>
  </r>
  <r>
    <n v="1126"/>
    <n v="2009"/>
    <n v="3020"/>
    <s v="Michael Dawson"/>
    <n v="63"/>
    <s v="Chennai"/>
    <s v="Bluetooth Speaker"/>
    <x v="3"/>
    <n v="11047"/>
    <x v="27"/>
    <n v="5"/>
    <n v="55235"/>
  </r>
  <r>
    <n v="1244"/>
    <n v="2002"/>
    <n v="3011"/>
    <s v="Leonard Kim"/>
    <n v="18"/>
    <s v="Hyderabad"/>
    <s v="Saree"/>
    <x v="1"/>
    <n v="9534"/>
    <x v="33"/>
    <n v="1"/>
    <n v="9534"/>
  </r>
  <r>
    <n v="1278"/>
    <n v="2001"/>
    <n v="3026"/>
    <s v="Jessica Coleman"/>
    <n v="21"/>
    <s v="Kolkata"/>
    <s v="Sweets Box"/>
    <x v="4"/>
    <n v="7228"/>
    <x v="9"/>
    <n v="3"/>
    <n v="21684"/>
  </r>
  <r>
    <n v="1129"/>
    <n v="2013"/>
    <n v="3003"/>
    <s v="Christopher Wagner"/>
    <n v="60"/>
    <s v="Hyderabad"/>
    <s v="Silver Coin"/>
    <x v="7"/>
    <n v="11845"/>
    <x v="35"/>
    <n v="1"/>
    <n v="11845"/>
  </r>
  <r>
    <n v="1165"/>
    <n v="2020"/>
    <n v="3008"/>
    <s v="Amanda Carter"/>
    <n v="38"/>
    <s v="Kolkata"/>
    <s v="Ethnic Jewelry"/>
    <x v="7"/>
    <n v="4495"/>
    <x v="2"/>
    <n v="4"/>
    <n v="17980"/>
  </r>
  <r>
    <n v="1224"/>
    <n v="2002"/>
    <n v="3011"/>
    <s v="Joseph Garrett"/>
    <n v="58"/>
    <s v="Pune"/>
    <s v="Saree"/>
    <x v="1"/>
    <n v="9534"/>
    <x v="35"/>
    <n v="2"/>
    <n v="19068"/>
  </r>
  <r>
    <n v="1080"/>
    <n v="2013"/>
    <n v="3016"/>
    <s v="Colleen Underwood"/>
    <n v="23"/>
    <s v="Hyderabad"/>
    <s v="Silver Coin"/>
    <x v="7"/>
    <n v="11845"/>
    <x v="7"/>
    <n v="4"/>
    <n v="47380"/>
  </r>
  <r>
    <n v="1138"/>
    <n v="2016"/>
    <n v="3025"/>
    <s v="Timothy Wells"/>
    <n v="18"/>
    <s v="Hyderabad"/>
    <s v="Fairy Lights"/>
    <x v="2"/>
    <n v="12242"/>
    <x v="39"/>
    <n v="1"/>
    <n v="12242"/>
  </r>
  <r>
    <n v="1279"/>
    <n v="2024"/>
    <n v="3002"/>
    <s v="Erin Mann"/>
    <n v="52"/>
    <s v="Delhi"/>
    <s v="Perfume Gift Set"/>
    <x v="0"/>
    <n v="16272"/>
    <x v="16"/>
    <n v="5"/>
    <n v="81360"/>
  </r>
  <r>
    <n v="1287"/>
    <n v="2023"/>
    <n v="3032"/>
    <s v="David White"/>
    <n v="29"/>
    <s v="Pune"/>
    <s v="Kids Wear"/>
    <x v="1"/>
    <n v="4794"/>
    <x v="15"/>
    <n v="5"/>
    <n v="23970"/>
  </r>
  <r>
    <n v="1011"/>
    <n v="2017"/>
    <n v="3012"/>
    <s v="Lindsey West"/>
    <n v="19"/>
    <s v="Hyderabad"/>
    <s v="Handmade Pottery"/>
    <x v="2"/>
    <n v="8186"/>
    <x v="21"/>
    <n v="3"/>
    <n v="24558"/>
  </r>
  <r>
    <n v="1265"/>
    <n v="2004"/>
    <n v="3021"/>
    <s v="Cynthia Chen"/>
    <n v="30"/>
    <s v="Mumbai"/>
    <s v="Smartphone"/>
    <x v="3"/>
    <n v="4952"/>
    <x v="38"/>
    <n v="2"/>
    <n v="9904"/>
  </r>
  <r>
    <n v="1276"/>
    <n v="2005"/>
    <n v="3016"/>
    <s v="Miss Tammy Cooper"/>
    <n v="42"/>
    <s v="Mumbai"/>
    <s v="LED Lamp"/>
    <x v="2"/>
    <n v="3828"/>
    <x v="16"/>
    <n v="4"/>
    <n v="15312"/>
  </r>
  <r>
    <n v="1136"/>
    <n v="2016"/>
    <n v="3004"/>
    <s v="Brooke Oliver"/>
    <n v="30"/>
    <s v="Chennai"/>
    <s v="Fairy Lights"/>
    <x v="2"/>
    <n v="12242"/>
    <x v="0"/>
    <n v="4"/>
    <n v="48968"/>
  </r>
  <r>
    <n v="1138"/>
    <n v="2009"/>
    <n v="3010"/>
    <s v="Timothy Wells"/>
    <n v="18"/>
    <s v="Hyderabad"/>
    <s v="Bluetooth Speaker"/>
    <x v="3"/>
    <n v="11047"/>
    <x v="39"/>
    <n v="1"/>
    <n v="11047"/>
  </r>
  <r>
    <n v="1240"/>
    <n v="2002"/>
    <n v="3002"/>
    <s v="Sally Stewart"/>
    <n v="26"/>
    <s v="Pune"/>
    <s v="Saree"/>
    <x v="1"/>
    <n v="9534"/>
    <x v="28"/>
    <n v="1"/>
    <n v="9534"/>
  </r>
  <r>
    <n v="1116"/>
    <n v="2002"/>
    <n v="3004"/>
    <s v="Connie Rogers"/>
    <n v="33"/>
    <s v="Mumbai"/>
    <s v="Saree"/>
    <x v="1"/>
    <n v="9534"/>
    <x v="39"/>
    <n v="5"/>
    <n v="47670"/>
  </r>
  <r>
    <n v="1025"/>
    <n v="2006"/>
    <n v="3024"/>
    <s v="Susan Wheeler"/>
    <n v="36"/>
    <s v="Kolkata"/>
    <s v="Crackers Pack"/>
    <x v="6"/>
    <n v="12060"/>
    <x v="32"/>
    <n v="2"/>
    <n v="24120"/>
  </r>
  <r>
    <n v="1127"/>
    <n v="2013"/>
    <n v="3018"/>
    <s v="Tom Irwin"/>
    <n v="38"/>
    <s v="Delhi"/>
    <s v="Silver Coin"/>
    <x v="7"/>
    <n v="11845"/>
    <x v="5"/>
    <n v="4"/>
    <n v="47380"/>
  </r>
  <r>
    <n v="1060"/>
    <n v="2008"/>
    <n v="3034"/>
    <s v="Kayla Aguilar"/>
    <n v="27"/>
    <s v="Hyderabad"/>
    <s v="Earthen Diyas"/>
    <x v="2"/>
    <n v="2136"/>
    <x v="25"/>
    <n v="5"/>
    <n v="10680"/>
  </r>
  <r>
    <n v="1254"/>
    <n v="2018"/>
    <n v="3033"/>
    <s v="Matthew Smith"/>
    <n v="49"/>
    <s v="Pune"/>
    <s v="Dry Fruits Pack"/>
    <x v="4"/>
    <n v="7243"/>
    <x v="17"/>
    <n v="5"/>
    <n v="36215"/>
  </r>
  <r>
    <n v="1078"/>
    <n v="2023"/>
    <n v="3003"/>
    <s v="Jerry Newman"/>
    <n v="19"/>
    <s v="Delhi"/>
    <s v="Kids Wear"/>
    <x v="1"/>
    <n v="4794"/>
    <x v="13"/>
    <n v="5"/>
    <n v="23970"/>
  </r>
  <r>
    <n v="1144"/>
    <n v="2011"/>
    <n v="3030"/>
    <s v="Amanda Henry"/>
    <n v="63"/>
    <s v="Hyderabad"/>
    <s v="Festive Thali"/>
    <x v="5"/>
    <n v="7481"/>
    <x v="27"/>
    <n v="5"/>
    <n v="37405"/>
  </r>
  <r>
    <n v="1057"/>
    <n v="2017"/>
    <n v="3028"/>
    <s v="John Lopez"/>
    <n v="51"/>
    <s v="Bangalore"/>
    <s v="Handmade Pottery"/>
    <x v="2"/>
    <n v="8186"/>
    <x v="32"/>
    <n v="4"/>
    <n v="32744"/>
  </r>
  <r>
    <n v="1093"/>
    <n v="2014"/>
    <n v="3011"/>
    <s v="John Martin"/>
    <n v="35"/>
    <s v="Hyderabad"/>
    <s v="Gold Coin"/>
    <x v="7"/>
    <n v="13823"/>
    <x v="11"/>
    <n v="4"/>
    <n v="55292"/>
  </r>
  <r>
    <n v="1213"/>
    <n v="2006"/>
    <n v="3007"/>
    <s v="Michael Compton"/>
    <n v="55"/>
    <s v="Mumbai"/>
    <s v="Crackers Pack"/>
    <x v="6"/>
    <n v="12060"/>
    <x v="3"/>
    <n v="1"/>
    <n v="12060"/>
  </r>
  <r>
    <n v="1293"/>
    <n v="2014"/>
    <n v="3027"/>
    <s v="Debbie Rocha"/>
    <n v="33"/>
    <s v="Hyderabad"/>
    <s v="Gold Coin"/>
    <x v="7"/>
    <n v="13823"/>
    <x v="7"/>
    <n v="4"/>
    <n v="55292"/>
  </r>
  <r>
    <n v="1275"/>
    <n v="2021"/>
    <n v="3034"/>
    <s v="George Newton"/>
    <n v="43"/>
    <s v="Hyderabad"/>
    <s v="Smartwatch"/>
    <x v="3"/>
    <n v="17586"/>
    <x v="0"/>
    <n v="2"/>
    <n v="35172"/>
  </r>
  <r>
    <n v="1222"/>
    <n v="2012"/>
    <n v="3031"/>
    <s v="Frank Johnson"/>
    <n v="39"/>
    <s v="Mumbai"/>
    <s v="Wall Hanging"/>
    <x v="2"/>
    <n v="11867"/>
    <x v="3"/>
    <n v="4"/>
    <n v="47468"/>
  </r>
  <r>
    <n v="1265"/>
    <n v="2017"/>
    <n v="3018"/>
    <s v="Cynthia Chen"/>
    <n v="30"/>
    <s v="Mumbai"/>
    <s v="Handmade Pottery"/>
    <x v="2"/>
    <n v="8186"/>
    <x v="38"/>
    <n v="2"/>
    <n v="16372"/>
  </r>
  <r>
    <n v="1254"/>
    <n v="2024"/>
    <n v="3002"/>
    <s v="Matthew Smith"/>
    <n v="49"/>
    <s v="Pune"/>
    <s v="Perfume Gift Set"/>
    <x v="0"/>
    <n v="16272"/>
    <x v="17"/>
    <n v="5"/>
    <n v="81360"/>
  </r>
  <r>
    <n v="1081"/>
    <n v="2001"/>
    <n v="3010"/>
    <s v="Lori Cox"/>
    <n v="59"/>
    <s v="Mumbai"/>
    <s v="Sweets Box"/>
    <x v="4"/>
    <n v="7228"/>
    <x v="15"/>
    <n v="4"/>
    <n v="28912"/>
  </r>
  <r>
    <n v="1282"/>
    <n v="2008"/>
    <n v="3034"/>
    <s v="Brett Sanchez"/>
    <n v="50"/>
    <s v="Kolkata"/>
    <s v="Earthen Diyas"/>
    <x v="2"/>
    <n v="2136"/>
    <x v="25"/>
    <n v="2"/>
    <n v="4272"/>
  </r>
  <r>
    <n v="1247"/>
    <n v="2021"/>
    <n v="3033"/>
    <s v="Tyler Melendez Dvm"/>
    <n v="61"/>
    <s v="Delhi"/>
    <s v="Smartwatch"/>
    <x v="3"/>
    <n v="17586"/>
    <x v="12"/>
    <n v="5"/>
    <n v="87930"/>
  </r>
  <r>
    <n v="1070"/>
    <n v="2025"/>
    <n v="3016"/>
    <s v="Pamela Anderson"/>
    <n v="35"/>
    <s v="Pune"/>
    <s v="Handbag"/>
    <x v="0"/>
    <n v="17019"/>
    <x v="30"/>
    <n v="1"/>
    <n v="17019"/>
  </r>
  <r>
    <n v="1175"/>
    <n v="2021"/>
    <n v="3014"/>
    <s v="Jeffrey Smith"/>
    <n v="51"/>
    <s v="Kolkata"/>
    <s v="Smartwatch"/>
    <x v="3"/>
    <n v="17586"/>
    <x v="16"/>
    <n v="4"/>
    <n v="70344"/>
  </r>
  <r>
    <n v="1219"/>
    <n v="2005"/>
    <n v="3021"/>
    <s v="Christopher Osborne"/>
    <n v="47"/>
    <s v="Hyderabad"/>
    <s v="LED Lamp"/>
    <x v="2"/>
    <n v="3828"/>
    <x v="11"/>
    <n v="4"/>
    <n v="15312"/>
  </r>
  <r>
    <n v="1283"/>
    <n v="2007"/>
    <n v="3014"/>
    <s v="Gregory Richardson"/>
    <n v="62"/>
    <s v="Chennai"/>
    <s v="Gift Hamper"/>
    <x v="4"/>
    <n v="3412"/>
    <x v="4"/>
    <n v="5"/>
    <n v="17060"/>
  </r>
  <r>
    <n v="1018"/>
    <n v="2002"/>
    <n v="3007"/>
    <s v="Mariah Kim"/>
    <n v="34"/>
    <s v="Mumbai"/>
    <s v="Saree"/>
    <x v="1"/>
    <n v="9534"/>
    <x v="13"/>
    <n v="1"/>
    <n v="9534"/>
  </r>
  <r>
    <n v="1183"/>
    <n v="2020"/>
    <n v="3026"/>
    <s v="Walter Griffin"/>
    <n v="20"/>
    <s v="Chennai"/>
    <s v="Ethnic Jewelry"/>
    <x v="7"/>
    <n v="4495"/>
    <x v="5"/>
    <n v="5"/>
    <n v="22475"/>
  </r>
  <r>
    <n v="1161"/>
    <n v="2004"/>
    <n v="3011"/>
    <s v="Christian Aguilar"/>
    <n v="32"/>
    <s v="Delhi"/>
    <s v="Smartphone"/>
    <x v="3"/>
    <n v="4952"/>
    <x v="0"/>
    <n v="4"/>
    <n v="19808"/>
  </r>
  <r>
    <n v="1295"/>
    <n v="2018"/>
    <n v="3022"/>
    <s v="Alicia Wallace"/>
    <n v="34"/>
    <s v="Mumbai"/>
    <s v="Dry Fruits Pack"/>
    <x v="4"/>
    <n v="7243"/>
    <x v="6"/>
    <n v="2"/>
    <n v="14486"/>
  </r>
  <r>
    <n v="1115"/>
    <n v="2010"/>
    <n v="3029"/>
    <s v="Valerie Winters"/>
    <n v="61"/>
    <s v="Delhi"/>
    <s v="Chocolate Box"/>
    <x v="4"/>
    <n v="17909"/>
    <x v="1"/>
    <n v="4"/>
    <n v="71636"/>
  </r>
  <r>
    <n v="1103"/>
    <n v="2011"/>
    <n v="3024"/>
    <s v="Glenn Cook"/>
    <n v="58"/>
    <s v="Kolkata"/>
    <s v="Festive Thali"/>
    <x v="5"/>
    <n v="7481"/>
    <x v="14"/>
    <n v="2"/>
    <n v="14962"/>
  </r>
  <r>
    <n v="1085"/>
    <n v="2012"/>
    <n v="3009"/>
    <s v="Amanda Nichols"/>
    <n v="36"/>
    <s v="Delhi"/>
    <s v="Wall Hanging"/>
    <x v="2"/>
    <n v="11867"/>
    <x v="27"/>
    <n v="2"/>
    <n v="23734"/>
  </r>
  <r>
    <n v="1216"/>
    <n v="2020"/>
    <n v="3011"/>
    <s v="Michelle Greer"/>
    <n v="41"/>
    <s v="Kolkata"/>
    <s v="Ethnic Jewelry"/>
    <x v="7"/>
    <n v="4495"/>
    <x v="6"/>
    <n v="3"/>
    <n v="13485"/>
  </r>
  <r>
    <n v="1165"/>
    <n v="2012"/>
    <n v="3003"/>
    <s v="Amanda Carter"/>
    <n v="38"/>
    <s v="Kolkata"/>
    <s v="Wall Hanging"/>
    <x v="2"/>
    <n v="11867"/>
    <x v="2"/>
    <n v="4"/>
    <n v="47468"/>
  </r>
  <r>
    <n v="1150"/>
    <n v="2011"/>
    <n v="3012"/>
    <s v="Angelica Davis"/>
    <n v="18"/>
    <s v="Bangalore"/>
    <s v="Festive Thali"/>
    <x v="5"/>
    <n v="7481"/>
    <x v="10"/>
    <n v="3"/>
    <n v="22443"/>
  </r>
  <r>
    <n v="1142"/>
    <n v="2004"/>
    <n v="3007"/>
    <s v="Derek Coffey"/>
    <n v="21"/>
    <s v="Chennai"/>
    <s v="Smartphone"/>
    <x v="3"/>
    <n v="4952"/>
    <x v="25"/>
    <n v="5"/>
    <n v="24760"/>
  </r>
  <r>
    <n v="1233"/>
    <n v="2006"/>
    <n v="3021"/>
    <s v="Matthew Jennings"/>
    <n v="65"/>
    <s v="Bangalore"/>
    <s v="Crackers Pack"/>
    <x v="6"/>
    <n v="12060"/>
    <x v="1"/>
    <n v="3"/>
    <n v="36180"/>
  </r>
  <r>
    <n v="1147"/>
    <n v="2014"/>
    <n v="3004"/>
    <s v="Edward Greene"/>
    <n v="58"/>
    <s v="Hyderabad"/>
    <s v="Gold Coin"/>
    <x v="7"/>
    <n v="13823"/>
    <x v="29"/>
    <n v="1"/>
    <n v="13823"/>
  </r>
  <r>
    <n v="1182"/>
    <n v="2006"/>
    <n v="3003"/>
    <s v="Benjamin Sanchez"/>
    <n v="47"/>
    <s v="Bangalore"/>
    <s v="Crackers Pack"/>
    <x v="6"/>
    <n v="12060"/>
    <x v="12"/>
    <n v="2"/>
    <n v="24120"/>
  </r>
  <r>
    <n v="1050"/>
    <n v="2014"/>
    <n v="3027"/>
    <s v="Ronald Gonzalez"/>
    <n v="46"/>
    <s v="Chennai"/>
    <s v="Gold Coin"/>
    <x v="7"/>
    <n v="13823"/>
    <x v="33"/>
    <n v="4"/>
    <n v="55292"/>
  </r>
  <r>
    <n v="1248"/>
    <n v="2007"/>
    <n v="3012"/>
    <s v="Karen Anderson"/>
    <n v="18"/>
    <s v="Mumbai"/>
    <s v="Gift Hamper"/>
    <x v="4"/>
    <n v="3412"/>
    <x v="10"/>
    <n v="5"/>
    <n v="17060"/>
  </r>
  <r>
    <n v="1195"/>
    <n v="2022"/>
    <n v="3023"/>
    <s v="Brianna Robertson"/>
    <n v="50"/>
    <s v="Kolkata"/>
    <s v="Home Decor Statue"/>
    <x v="2"/>
    <n v="17149"/>
    <x v="7"/>
    <n v="4"/>
    <n v="68596"/>
  </r>
  <r>
    <n v="1002"/>
    <n v="2009"/>
    <n v="3025"/>
    <s v="Scott Chen"/>
    <n v="21"/>
    <s v="Mumbai"/>
    <s v="Bluetooth Speaker"/>
    <x v="3"/>
    <n v="11047"/>
    <x v="15"/>
    <n v="5"/>
    <n v="55235"/>
  </r>
  <r>
    <n v="1207"/>
    <n v="2008"/>
    <n v="3014"/>
    <s v="Jeffrey Curtis"/>
    <n v="26"/>
    <s v="Mumbai"/>
    <s v="Earthen Diyas"/>
    <x v="2"/>
    <n v="2136"/>
    <x v="26"/>
    <n v="1"/>
    <n v="2136"/>
  </r>
  <r>
    <n v="1033"/>
    <n v="2019"/>
    <n v="3035"/>
    <s v="Maria Holt"/>
    <n v="18"/>
    <s v="Bangalore"/>
    <s v="Designer Kurti"/>
    <x v="1"/>
    <n v="13620"/>
    <x v="22"/>
    <n v="4"/>
    <n v="54480"/>
  </r>
  <r>
    <n v="1297"/>
    <n v="2006"/>
    <n v="3004"/>
    <s v="Samantha Mendoza"/>
    <n v="19"/>
    <s v="Pune"/>
    <s v="Crackers Pack"/>
    <x v="6"/>
    <n v="12060"/>
    <x v="10"/>
    <n v="3"/>
    <n v="36180"/>
  </r>
  <r>
    <n v="1088"/>
    <n v="2015"/>
    <n v="3029"/>
    <s v="Mark Mitchell"/>
    <n v="58"/>
    <s v="Delhi"/>
    <s v="Candle Set"/>
    <x v="2"/>
    <n v="17604"/>
    <x v="21"/>
    <n v="3"/>
    <n v="52812"/>
  </r>
  <r>
    <n v="1226"/>
    <n v="2008"/>
    <n v="3017"/>
    <s v="Joshua Anderson"/>
    <n v="41"/>
    <s v="Kolkata"/>
    <s v="Earthen Diyas"/>
    <x v="2"/>
    <n v="2136"/>
    <x v="20"/>
    <n v="4"/>
    <n v="8544"/>
  </r>
  <r>
    <n v="1096"/>
    <n v="2005"/>
    <n v="3018"/>
    <s v="Morgan Webb"/>
    <n v="60"/>
    <s v="Mumbai"/>
    <s v="LED Lamp"/>
    <x v="2"/>
    <n v="3828"/>
    <x v="40"/>
    <n v="4"/>
    <n v="15312"/>
  </r>
  <r>
    <n v="1058"/>
    <n v="2006"/>
    <n v="3035"/>
    <s v="Jo Roberson"/>
    <n v="44"/>
    <s v="Chennai"/>
    <s v="Crackers Pack"/>
    <x v="6"/>
    <n v="12060"/>
    <x v="7"/>
    <n v="5"/>
    <n v="60300"/>
  </r>
  <r>
    <n v="1068"/>
    <n v="2002"/>
    <n v="3026"/>
    <s v="Tiffany Brown"/>
    <n v="44"/>
    <s v="Mumbai"/>
    <s v="Saree"/>
    <x v="1"/>
    <n v="9534"/>
    <x v="32"/>
    <n v="2"/>
    <n v="19068"/>
  </r>
  <r>
    <n v="1101"/>
    <n v="2001"/>
    <n v="3003"/>
    <s v="Ronald Wright"/>
    <n v="46"/>
    <s v="Delhi"/>
    <s v="Sweets Box"/>
    <x v="4"/>
    <n v="7228"/>
    <x v="9"/>
    <n v="3"/>
    <n v="21684"/>
  </r>
  <r>
    <n v="1245"/>
    <n v="2011"/>
    <n v="3034"/>
    <s v="Donna Wheeler"/>
    <n v="61"/>
    <s v="Hyderabad"/>
    <s v="Festive Thali"/>
    <x v="5"/>
    <n v="7481"/>
    <x v="6"/>
    <n v="4"/>
    <n v="29924"/>
  </r>
  <r>
    <n v="1215"/>
    <n v="2018"/>
    <n v="3026"/>
    <s v="Brent Murphy"/>
    <n v="57"/>
    <s v="Hyderabad"/>
    <s v="Dry Fruits Pack"/>
    <x v="4"/>
    <n v="7243"/>
    <x v="31"/>
    <n v="2"/>
    <n v="14486"/>
  </r>
  <r>
    <n v="1196"/>
    <n v="2023"/>
    <n v="3027"/>
    <s v="Cynthia Martin"/>
    <n v="20"/>
    <s v="Hyderabad"/>
    <s v="Kids Wear"/>
    <x v="1"/>
    <n v="4794"/>
    <x v="16"/>
    <n v="2"/>
    <n v="9588"/>
  </r>
  <r>
    <n v="1209"/>
    <n v="2023"/>
    <n v="3031"/>
    <s v="Emily Rodriguez"/>
    <n v="20"/>
    <s v="Kolkata"/>
    <s v="Kids Wear"/>
    <x v="1"/>
    <n v="4794"/>
    <x v="11"/>
    <n v="2"/>
    <n v="9588"/>
  </r>
  <r>
    <n v="1228"/>
    <n v="2016"/>
    <n v="3011"/>
    <s v="Ian Kemp"/>
    <n v="42"/>
    <s v="Kolkata"/>
    <s v="Fairy Lights"/>
    <x v="2"/>
    <n v="12242"/>
    <x v="37"/>
    <n v="4"/>
    <n v="48968"/>
  </r>
  <r>
    <n v="1053"/>
    <n v="2009"/>
    <n v="3031"/>
    <s v="Brandon Martin"/>
    <n v="52"/>
    <s v="Kolkata"/>
    <s v="Bluetooth Speaker"/>
    <x v="3"/>
    <n v="11047"/>
    <x v="12"/>
    <n v="3"/>
    <n v="33141"/>
  </r>
  <r>
    <n v="1107"/>
    <n v="2015"/>
    <n v="3023"/>
    <s v="Crystal Wilson"/>
    <n v="53"/>
    <s v="Hyderabad"/>
    <s v="Candle Set"/>
    <x v="2"/>
    <n v="17604"/>
    <x v="30"/>
    <n v="2"/>
    <n v="35208"/>
  </r>
  <r>
    <n v="1070"/>
    <n v="2011"/>
    <n v="3015"/>
    <s v="Pamela Anderson"/>
    <n v="35"/>
    <s v="Pune"/>
    <s v="Festive Thali"/>
    <x v="5"/>
    <n v="7481"/>
    <x v="30"/>
    <n v="1"/>
    <n v="7481"/>
  </r>
  <r>
    <n v="1259"/>
    <n v="2003"/>
    <n v="3003"/>
    <s v="Joshua Mccormick"/>
    <n v="63"/>
    <s v="Mumbai"/>
    <s v="Kurta"/>
    <x v="1"/>
    <n v="13241"/>
    <x v="25"/>
    <n v="3"/>
    <n v="39723"/>
  </r>
  <r>
    <n v="1241"/>
    <n v="2021"/>
    <n v="3028"/>
    <s v="Juan Romero"/>
    <n v="44"/>
    <s v="Hyderabad"/>
    <s v="Smartwatch"/>
    <x v="3"/>
    <n v="17586"/>
    <x v="35"/>
    <n v="3"/>
    <n v="52758"/>
  </r>
  <r>
    <n v="1165"/>
    <n v="2004"/>
    <n v="3035"/>
    <s v="Amanda Carter"/>
    <n v="38"/>
    <s v="Kolkata"/>
    <s v="Smartphone"/>
    <x v="3"/>
    <n v="4952"/>
    <x v="2"/>
    <n v="4"/>
    <n v="19808"/>
  </r>
  <r>
    <n v="1227"/>
    <n v="2009"/>
    <n v="3029"/>
    <s v="Stephanie Campbell"/>
    <n v="42"/>
    <s v="Chennai"/>
    <s v="Bluetooth Speaker"/>
    <x v="3"/>
    <n v="11047"/>
    <x v="26"/>
    <n v="5"/>
    <n v="55235"/>
  </r>
  <r>
    <n v="1187"/>
    <n v="2019"/>
    <n v="3015"/>
    <s v="Steven Sosa"/>
    <n v="39"/>
    <s v="Chennai"/>
    <s v="Designer Kurti"/>
    <x v="1"/>
    <n v="13620"/>
    <x v="15"/>
    <n v="4"/>
    <n v="54480"/>
  </r>
  <r>
    <n v="1189"/>
    <n v="2009"/>
    <n v="3022"/>
    <s v="Kaitlyn Hickman"/>
    <n v="21"/>
    <s v="Delhi"/>
    <s v="Bluetooth Speaker"/>
    <x v="3"/>
    <n v="11047"/>
    <x v="30"/>
    <n v="2"/>
    <n v="22094"/>
  </r>
  <r>
    <n v="1150"/>
    <n v="2012"/>
    <n v="3024"/>
    <s v="Angelica Davis"/>
    <n v="18"/>
    <s v="Bangalore"/>
    <s v="Wall Hanging"/>
    <x v="2"/>
    <n v="11867"/>
    <x v="10"/>
    <n v="3"/>
    <n v="35601"/>
  </r>
  <r>
    <n v="1096"/>
    <n v="2016"/>
    <n v="3032"/>
    <s v="Morgan Webb"/>
    <n v="60"/>
    <s v="Mumbai"/>
    <s v="Fairy Lights"/>
    <x v="2"/>
    <n v="12242"/>
    <x v="40"/>
    <n v="4"/>
    <n v="48968"/>
  </r>
  <r>
    <n v="1061"/>
    <n v="2024"/>
    <n v="3001"/>
    <s v="Alexander Gonzalez"/>
    <n v="53"/>
    <s v="Pune"/>
    <s v="Perfume Gift Set"/>
    <x v="0"/>
    <n v="16272"/>
    <x v="31"/>
    <n v="3"/>
    <n v="48816"/>
  </r>
  <r>
    <n v="1151"/>
    <n v="2018"/>
    <n v="3009"/>
    <s v="Cynthia Simpson"/>
    <n v="58"/>
    <s v="Delhi"/>
    <s v="Dry Fruits Pack"/>
    <x v="4"/>
    <n v="7243"/>
    <x v="20"/>
    <n v="4"/>
    <n v="28972"/>
  </r>
  <r>
    <n v="1023"/>
    <n v="2007"/>
    <n v="3006"/>
    <s v="Daniel Williams"/>
    <n v="45"/>
    <s v="Pune"/>
    <s v="Gift Hamper"/>
    <x v="4"/>
    <n v="3412"/>
    <x v="20"/>
    <n v="3"/>
    <n v="10236"/>
  </r>
  <r>
    <n v="1107"/>
    <n v="2001"/>
    <n v="3001"/>
    <s v="Crystal Wilson"/>
    <n v="53"/>
    <s v="Hyderabad"/>
    <s v="Sweets Box"/>
    <x v="4"/>
    <n v="7228"/>
    <x v="30"/>
    <n v="2"/>
    <n v="14456"/>
  </r>
  <r>
    <n v="1246"/>
    <n v="2019"/>
    <n v="3026"/>
    <s v="Casey Bailey"/>
    <n v="18"/>
    <s v="Bangalore"/>
    <s v="Designer Kurti"/>
    <x v="1"/>
    <n v="13620"/>
    <x v="26"/>
    <n v="2"/>
    <n v="27240"/>
  </r>
  <r>
    <n v="1270"/>
    <n v="2004"/>
    <n v="3030"/>
    <s v="Keith Diaz"/>
    <n v="45"/>
    <s v="Pune"/>
    <s v="Smartphone"/>
    <x v="3"/>
    <n v="4952"/>
    <x v="21"/>
    <n v="2"/>
    <n v="9904"/>
  </r>
  <r>
    <n v="1277"/>
    <n v="2022"/>
    <n v="3001"/>
    <s v="Christopher Jackson"/>
    <n v="55"/>
    <s v="Hyderabad"/>
    <s v="Home Decor Statue"/>
    <x v="2"/>
    <n v="17149"/>
    <x v="18"/>
    <n v="5"/>
    <n v="85745"/>
  </r>
  <r>
    <n v="1113"/>
    <n v="2019"/>
    <n v="3009"/>
    <s v="Tyler Lozano"/>
    <n v="62"/>
    <s v="Chennai"/>
    <s v="Designer Kurti"/>
    <x v="1"/>
    <n v="13620"/>
    <x v="17"/>
    <n v="1"/>
    <n v="13620"/>
  </r>
  <r>
    <n v="1083"/>
    <n v="2011"/>
    <n v="3017"/>
    <s v="James Barrera"/>
    <n v="31"/>
    <s v="Pune"/>
    <s v="Festive Thali"/>
    <x v="5"/>
    <n v="7481"/>
    <x v="1"/>
    <n v="4"/>
    <n v="29924"/>
  </r>
  <r>
    <n v="1113"/>
    <n v="2007"/>
    <n v="3006"/>
    <s v="Tyler Lozano"/>
    <n v="62"/>
    <s v="Chennai"/>
    <s v="Gift Hamper"/>
    <x v="4"/>
    <n v="3412"/>
    <x v="17"/>
    <n v="1"/>
    <n v="3412"/>
  </r>
  <r>
    <n v="1182"/>
    <n v="2019"/>
    <n v="3007"/>
    <s v="Benjamin Sanchez"/>
    <n v="47"/>
    <s v="Bangalore"/>
    <s v="Designer Kurti"/>
    <x v="1"/>
    <n v="13620"/>
    <x v="12"/>
    <n v="2"/>
    <n v="27240"/>
  </r>
  <r>
    <n v="1079"/>
    <n v="2015"/>
    <n v="3006"/>
    <s v="Anthony Myers"/>
    <n v="39"/>
    <s v="Hyderabad"/>
    <s v="Candle Set"/>
    <x v="2"/>
    <n v="17604"/>
    <x v="17"/>
    <n v="2"/>
    <n v="35208"/>
  </r>
  <r>
    <n v="1188"/>
    <n v="2002"/>
    <n v="3015"/>
    <s v="Timothy Graham"/>
    <n v="33"/>
    <s v="Kolkata"/>
    <s v="Saree"/>
    <x v="1"/>
    <n v="9534"/>
    <x v="20"/>
    <n v="3"/>
    <n v="28602"/>
  </r>
  <r>
    <n v="1041"/>
    <n v="2014"/>
    <n v="3015"/>
    <s v="Vincent Hale"/>
    <n v="31"/>
    <s v="Delhi"/>
    <s v="Gold Coin"/>
    <x v="7"/>
    <n v="13823"/>
    <x v="4"/>
    <n v="2"/>
    <n v="27646"/>
  </r>
  <r>
    <n v="1242"/>
    <n v="2020"/>
    <n v="3008"/>
    <s v="Julie Gonzalez"/>
    <n v="23"/>
    <s v="Mumbai"/>
    <s v="Ethnic Jewelry"/>
    <x v="7"/>
    <n v="4495"/>
    <x v="41"/>
    <n v="5"/>
    <n v="22475"/>
  </r>
  <r>
    <n v="1046"/>
    <n v="2020"/>
    <n v="3010"/>
    <s v="Leslie Little"/>
    <n v="34"/>
    <s v="Chennai"/>
    <s v="Ethnic Jewelry"/>
    <x v="7"/>
    <n v="4495"/>
    <x v="13"/>
    <n v="5"/>
    <n v="22475"/>
  </r>
  <r>
    <n v="1254"/>
    <n v="2022"/>
    <n v="3011"/>
    <s v="Matthew Smith"/>
    <n v="49"/>
    <s v="Pune"/>
    <s v="Home Decor Statue"/>
    <x v="2"/>
    <n v="17149"/>
    <x v="17"/>
    <n v="5"/>
    <n v="85745"/>
  </r>
  <r>
    <n v="1194"/>
    <n v="2006"/>
    <n v="3017"/>
    <s v="Danielle Davis"/>
    <n v="41"/>
    <s v="Chennai"/>
    <s v="Crackers Pack"/>
    <x v="6"/>
    <n v="12060"/>
    <x v="22"/>
    <n v="2"/>
    <n v="24120"/>
  </r>
  <r>
    <n v="1278"/>
    <n v="2003"/>
    <n v="3005"/>
    <s v="Jessica Coleman"/>
    <n v="21"/>
    <s v="Kolkata"/>
    <s v="Kurta"/>
    <x v="1"/>
    <n v="13241"/>
    <x v="9"/>
    <n v="3"/>
    <n v="39723"/>
  </r>
  <r>
    <n v="1121"/>
    <n v="2020"/>
    <n v="3009"/>
    <s v="Vincent Fuller"/>
    <n v="25"/>
    <s v="Delhi"/>
    <s v="Ethnic Jewelry"/>
    <x v="7"/>
    <n v="4495"/>
    <x v="41"/>
    <n v="2"/>
    <n v="8990"/>
  </r>
  <r>
    <n v="1168"/>
    <n v="2015"/>
    <n v="3005"/>
    <s v="John Daniels"/>
    <n v="40"/>
    <s v="Kolkata"/>
    <s v="Candle Set"/>
    <x v="2"/>
    <n v="17604"/>
    <x v="27"/>
    <n v="5"/>
    <n v="88020"/>
  </r>
  <r>
    <n v="1118"/>
    <n v="2007"/>
    <n v="3027"/>
    <s v="Jillian Khan"/>
    <n v="29"/>
    <s v="Pune"/>
    <s v="Gift Hamper"/>
    <x v="4"/>
    <n v="3412"/>
    <x v="32"/>
    <n v="3"/>
    <n v="10236"/>
  </r>
  <r>
    <n v="1061"/>
    <n v="2023"/>
    <n v="3014"/>
    <s v="Alexander Gonzalez"/>
    <n v="53"/>
    <s v="Pune"/>
    <s v="Kids Wear"/>
    <x v="1"/>
    <n v="4794"/>
    <x v="31"/>
    <n v="3"/>
    <n v="14382"/>
  </r>
  <r>
    <n v="1213"/>
    <n v="2023"/>
    <n v="3009"/>
    <s v="Michael Compton"/>
    <n v="55"/>
    <s v="Mumbai"/>
    <s v="Kids Wear"/>
    <x v="1"/>
    <n v="4794"/>
    <x v="3"/>
    <n v="1"/>
    <n v="4794"/>
  </r>
  <r>
    <n v="1134"/>
    <n v="2025"/>
    <n v="3023"/>
    <s v="Bobby Neal"/>
    <n v="61"/>
    <s v="Kolkata"/>
    <s v="Handbag"/>
    <x v="0"/>
    <n v="17019"/>
    <x v="2"/>
    <n v="1"/>
    <n v="17019"/>
  </r>
  <r>
    <n v="1144"/>
    <n v="2025"/>
    <n v="3016"/>
    <s v="Amanda Henry"/>
    <n v="63"/>
    <s v="Hyderabad"/>
    <s v="Handbag"/>
    <x v="0"/>
    <n v="17019"/>
    <x v="27"/>
    <n v="5"/>
    <n v="85095"/>
  </r>
  <r>
    <n v="1162"/>
    <n v="2004"/>
    <n v="3001"/>
    <s v="Jamie Jarvis"/>
    <n v="38"/>
    <s v="Kolkata"/>
    <s v="Smartphone"/>
    <x v="3"/>
    <n v="4952"/>
    <x v="39"/>
    <n v="5"/>
    <n v="24760"/>
  </r>
  <r>
    <n v="1224"/>
    <n v="2019"/>
    <n v="3021"/>
    <s v="Joseph Garrett"/>
    <n v="58"/>
    <s v="Pune"/>
    <s v="Designer Kurti"/>
    <x v="1"/>
    <n v="13620"/>
    <x v="35"/>
    <n v="2"/>
    <n v="27240"/>
  </r>
  <r>
    <n v="1030"/>
    <n v="2016"/>
    <n v="3031"/>
    <s v="Andrea Hines"/>
    <n v="49"/>
    <s v="Bangalore"/>
    <s v="Fairy Lights"/>
    <x v="2"/>
    <n v="12242"/>
    <x v="16"/>
    <n v="4"/>
    <n v="48968"/>
  </r>
  <r>
    <n v="1282"/>
    <n v="2011"/>
    <n v="3019"/>
    <s v="Brett Sanchez"/>
    <n v="50"/>
    <s v="Kolkata"/>
    <s v="Festive Thali"/>
    <x v="5"/>
    <n v="7481"/>
    <x v="25"/>
    <n v="2"/>
    <n v="14962"/>
  </r>
  <r>
    <n v="1046"/>
    <n v="2015"/>
    <n v="3021"/>
    <s v="Leslie Little"/>
    <n v="34"/>
    <s v="Chennai"/>
    <s v="Candle Set"/>
    <x v="2"/>
    <n v="17604"/>
    <x v="13"/>
    <n v="5"/>
    <n v="88020"/>
  </r>
  <r>
    <n v="1095"/>
    <n v="2025"/>
    <n v="3014"/>
    <s v="Edward Johnson"/>
    <n v="49"/>
    <s v="Kolkata"/>
    <s v="Handbag"/>
    <x v="0"/>
    <n v="17019"/>
    <x v="4"/>
    <n v="1"/>
    <n v="17019"/>
  </r>
  <r>
    <n v="1195"/>
    <n v="2004"/>
    <n v="3001"/>
    <s v="Brianna Robertson"/>
    <n v="50"/>
    <s v="Kolkata"/>
    <s v="Smartphone"/>
    <x v="3"/>
    <n v="4952"/>
    <x v="7"/>
    <n v="4"/>
    <n v="19808"/>
  </r>
  <r>
    <n v="1136"/>
    <n v="2025"/>
    <n v="3009"/>
    <s v="Brooke Oliver"/>
    <n v="30"/>
    <s v="Chennai"/>
    <s v="Handbag"/>
    <x v="0"/>
    <n v="17019"/>
    <x v="0"/>
    <n v="4"/>
    <n v="68076"/>
  </r>
  <r>
    <n v="1102"/>
    <n v="2004"/>
    <n v="3010"/>
    <s v="Derrick Matthews"/>
    <n v="44"/>
    <s v="Hyderabad"/>
    <s v="Smartphone"/>
    <x v="3"/>
    <n v="4952"/>
    <x v="37"/>
    <n v="5"/>
    <n v="24760"/>
  </r>
  <r>
    <n v="1248"/>
    <n v="2024"/>
    <n v="3016"/>
    <s v="Karen Anderson"/>
    <n v="18"/>
    <s v="Mumbai"/>
    <s v="Perfume Gift Set"/>
    <x v="0"/>
    <n v="16272"/>
    <x v="10"/>
    <n v="5"/>
    <n v="81360"/>
  </r>
  <r>
    <n v="1233"/>
    <n v="2012"/>
    <n v="3022"/>
    <s v="Matthew Jennings"/>
    <n v="65"/>
    <s v="Bangalore"/>
    <s v="Wall Hanging"/>
    <x v="2"/>
    <n v="11867"/>
    <x v="1"/>
    <n v="3"/>
    <n v="35601"/>
  </r>
  <r>
    <n v="1074"/>
    <n v="2022"/>
    <n v="3031"/>
    <s v="Kimberly Walker"/>
    <n v="38"/>
    <s v="Bangalore"/>
    <s v="Home Decor Statue"/>
    <x v="2"/>
    <n v="17149"/>
    <x v="40"/>
    <n v="5"/>
    <n v="85745"/>
  </r>
  <r>
    <n v="1120"/>
    <n v="2018"/>
    <n v="3018"/>
    <s v="Tracey Gibson"/>
    <n v="57"/>
    <s v="Mumbai"/>
    <s v="Dry Fruits Pack"/>
    <x v="4"/>
    <n v="7243"/>
    <x v="3"/>
    <n v="4"/>
    <n v="28972"/>
  </r>
  <r>
    <n v="1050"/>
    <n v="2006"/>
    <n v="3033"/>
    <s v="Ronald Gonzalez"/>
    <n v="46"/>
    <s v="Chennai"/>
    <s v="Crackers Pack"/>
    <x v="6"/>
    <n v="12060"/>
    <x v="33"/>
    <n v="4"/>
    <n v="48240"/>
  </r>
  <r>
    <n v="1127"/>
    <n v="2013"/>
    <n v="3018"/>
    <s v="Tom Irwin"/>
    <n v="38"/>
    <s v="Delhi"/>
    <s v="Silver Coin"/>
    <x v="7"/>
    <n v="11845"/>
    <x v="5"/>
    <n v="4"/>
    <n v="47380"/>
  </r>
  <r>
    <n v="1017"/>
    <n v="2012"/>
    <n v="3013"/>
    <s v="Sandra Hamilton"/>
    <n v="39"/>
    <s v="Kolkata"/>
    <s v="Wall Hanging"/>
    <x v="2"/>
    <n v="11867"/>
    <x v="29"/>
    <n v="2"/>
    <n v="23734"/>
  </r>
  <r>
    <n v="1103"/>
    <n v="2015"/>
    <n v="3022"/>
    <s v="Glenn Cook"/>
    <n v="58"/>
    <s v="Kolkata"/>
    <s v="Candle Set"/>
    <x v="2"/>
    <n v="17604"/>
    <x v="14"/>
    <n v="2"/>
    <n v="35208"/>
  </r>
  <r>
    <n v="1226"/>
    <n v="2014"/>
    <n v="3030"/>
    <s v="Joshua Anderson"/>
    <n v="41"/>
    <s v="Kolkata"/>
    <s v="Gold Coin"/>
    <x v="7"/>
    <n v="13823"/>
    <x v="20"/>
    <n v="4"/>
    <n v="55292"/>
  </r>
  <r>
    <n v="1246"/>
    <n v="2001"/>
    <n v="3007"/>
    <s v="Casey Bailey"/>
    <n v="18"/>
    <s v="Bangalore"/>
    <s v="Sweets Box"/>
    <x v="4"/>
    <n v="7228"/>
    <x v="26"/>
    <n v="2"/>
    <n v="14456"/>
  </r>
  <r>
    <n v="1275"/>
    <n v="2016"/>
    <n v="3034"/>
    <s v="George Newton"/>
    <n v="43"/>
    <s v="Hyderabad"/>
    <s v="Fairy Lights"/>
    <x v="2"/>
    <n v="12242"/>
    <x v="0"/>
    <n v="2"/>
    <n v="24484"/>
  </r>
  <r>
    <n v="1207"/>
    <n v="2024"/>
    <n v="3016"/>
    <s v="Jeffrey Curtis"/>
    <n v="26"/>
    <s v="Mumbai"/>
    <s v="Perfume Gift Set"/>
    <x v="0"/>
    <n v="16272"/>
    <x v="26"/>
    <n v="1"/>
    <n v="16272"/>
  </r>
  <r>
    <n v="1193"/>
    <n v="2015"/>
    <n v="3008"/>
    <s v="Margaret Schwartz"/>
    <n v="25"/>
    <s v="Mumbai"/>
    <s v="Candle Set"/>
    <x v="2"/>
    <n v="17604"/>
    <x v="15"/>
    <n v="5"/>
    <n v="88020"/>
  </r>
  <r>
    <n v="1246"/>
    <n v="2019"/>
    <n v="3019"/>
    <s v="Casey Bailey"/>
    <n v="18"/>
    <s v="Bangalore"/>
    <s v="Designer Kurti"/>
    <x v="1"/>
    <n v="13620"/>
    <x v="26"/>
    <n v="2"/>
    <n v="27240"/>
  </r>
  <r>
    <n v="1078"/>
    <n v="2018"/>
    <n v="3004"/>
    <s v="Jerry Newman"/>
    <n v="19"/>
    <s v="Delhi"/>
    <s v="Dry Fruits Pack"/>
    <x v="4"/>
    <n v="7243"/>
    <x v="13"/>
    <n v="5"/>
    <n v="36215"/>
  </r>
  <r>
    <n v="1234"/>
    <n v="2004"/>
    <n v="3003"/>
    <s v="Kaitlyn Collier"/>
    <n v="55"/>
    <s v="Kolkata"/>
    <s v="Smartphone"/>
    <x v="3"/>
    <n v="4952"/>
    <x v="13"/>
    <n v="4"/>
    <n v="19808"/>
  </r>
  <r>
    <n v="1209"/>
    <n v="2022"/>
    <n v="3013"/>
    <s v="Emily Rodriguez"/>
    <n v="20"/>
    <s v="Kolkata"/>
    <s v="Home Decor Statue"/>
    <x v="2"/>
    <n v="17149"/>
    <x v="11"/>
    <n v="2"/>
    <n v="34298"/>
  </r>
  <r>
    <n v="1208"/>
    <n v="2022"/>
    <n v="3033"/>
    <s v="Kelly Lee"/>
    <n v="47"/>
    <s v="Delhi"/>
    <s v="Home Decor Statue"/>
    <x v="2"/>
    <n v="17149"/>
    <x v="14"/>
    <n v="3"/>
    <n v="51447"/>
  </r>
  <r>
    <n v="1127"/>
    <n v="2011"/>
    <n v="3006"/>
    <s v="Tom Irwin"/>
    <n v="38"/>
    <s v="Delhi"/>
    <s v="Festive Thali"/>
    <x v="5"/>
    <n v="7481"/>
    <x v="5"/>
    <n v="4"/>
    <n v="29924"/>
  </r>
  <r>
    <n v="1242"/>
    <n v="2008"/>
    <n v="3026"/>
    <s v="Julie Gonzalez"/>
    <n v="23"/>
    <s v="Mumbai"/>
    <s v="Earthen Diyas"/>
    <x v="2"/>
    <n v="2136"/>
    <x v="41"/>
    <n v="5"/>
    <n v="10680"/>
  </r>
  <r>
    <n v="1018"/>
    <n v="2011"/>
    <n v="3035"/>
    <s v="Mariah Kim"/>
    <n v="34"/>
    <s v="Mumbai"/>
    <s v="Festive Thali"/>
    <x v="5"/>
    <n v="7481"/>
    <x v="13"/>
    <n v="1"/>
    <n v="7481"/>
  </r>
  <r>
    <n v="1193"/>
    <n v="2006"/>
    <n v="3032"/>
    <s v="Margaret Schwartz"/>
    <n v="25"/>
    <s v="Mumbai"/>
    <s v="Crackers Pack"/>
    <x v="6"/>
    <n v="12060"/>
    <x v="15"/>
    <n v="5"/>
    <n v="60300"/>
  </r>
  <r>
    <n v="1196"/>
    <n v="2017"/>
    <n v="3002"/>
    <s v="Cynthia Martin"/>
    <n v="20"/>
    <s v="Hyderabad"/>
    <s v="Handmade Pottery"/>
    <x v="2"/>
    <n v="8186"/>
    <x v="16"/>
    <n v="2"/>
    <n v="16372"/>
  </r>
  <r>
    <n v="1128"/>
    <n v="2004"/>
    <n v="3028"/>
    <s v="Thomas Pennington"/>
    <n v="49"/>
    <s v="Pune"/>
    <s v="Smartphone"/>
    <x v="3"/>
    <n v="4952"/>
    <x v="9"/>
    <n v="3"/>
    <n v="14856"/>
  </r>
  <r>
    <n v="1175"/>
    <n v="2007"/>
    <n v="3006"/>
    <s v="Jeffrey Smith"/>
    <n v="51"/>
    <s v="Kolkata"/>
    <s v="Gift Hamper"/>
    <x v="4"/>
    <n v="3412"/>
    <x v="16"/>
    <n v="4"/>
    <n v="13648"/>
  </r>
  <r>
    <n v="1078"/>
    <n v="2001"/>
    <n v="3001"/>
    <s v="Jerry Newman"/>
    <n v="19"/>
    <s v="Delhi"/>
    <s v="Sweets Box"/>
    <x v="4"/>
    <n v="7228"/>
    <x v="13"/>
    <n v="5"/>
    <n v="36140"/>
  </r>
  <r>
    <n v="1131"/>
    <n v="2011"/>
    <n v="3022"/>
    <s v="Michael Fletcher"/>
    <n v="46"/>
    <s v="Delhi"/>
    <s v="Festive Thali"/>
    <x v="5"/>
    <n v="7481"/>
    <x v="19"/>
    <n v="1"/>
    <n v="7481"/>
  </r>
  <r>
    <n v="1276"/>
    <n v="2002"/>
    <n v="3029"/>
    <s v="Miss Tammy Cooper"/>
    <n v="42"/>
    <s v="Mumbai"/>
    <s v="Saree"/>
    <x v="1"/>
    <n v="9534"/>
    <x v="16"/>
    <n v="4"/>
    <n v="38136"/>
  </r>
  <r>
    <n v="1290"/>
    <n v="2001"/>
    <n v="3027"/>
    <s v="James Mclean"/>
    <n v="19"/>
    <s v="Chennai"/>
    <s v="Sweets Box"/>
    <x v="4"/>
    <n v="7228"/>
    <x v="9"/>
    <n v="4"/>
    <n v="28912"/>
  </r>
  <r>
    <n v="1259"/>
    <n v="2024"/>
    <n v="3023"/>
    <s v="Joshua Mccormick"/>
    <n v="63"/>
    <s v="Mumbai"/>
    <s v="Perfume Gift Set"/>
    <x v="0"/>
    <n v="16272"/>
    <x v="25"/>
    <n v="3"/>
    <n v="48816"/>
  </r>
  <r>
    <n v="1078"/>
    <n v="2021"/>
    <n v="3008"/>
    <s v="Jerry Newman"/>
    <n v="19"/>
    <s v="Delhi"/>
    <s v="Smartwatch"/>
    <x v="3"/>
    <n v="17586"/>
    <x v="13"/>
    <n v="5"/>
    <n v="87930"/>
  </r>
  <r>
    <n v="1171"/>
    <n v="2011"/>
    <n v="3035"/>
    <s v="Brandon Graves"/>
    <n v="43"/>
    <s v="Delhi"/>
    <s v="Festive Thali"/>
    <x v="5"/>
    <n v="7481"/>
    <x v="40"/>
    <n v="1"/>
    <n v="7481"/>
  </r>
  <r>
    <n v="1042"/>
    <n v="2017"/>
    <n v="3018"/>
    <s v="Robert Hall"/>
    <n v="24"/>
    <s v="Hyderabad"/>
    <s v="Handmade Pottery"/>
    <x v="2"/>
    <n v="8186"/>
    <x v="9"/>
    <n v="1"/>
    <n v="8186"/>
  </r>
  <r>
    <n v="1212"/>
    <n v="2025"/>
    <n v="3025"/>
    <s v="Ashley Green"/>
    <n v="41"/>
    <s v="Hyderabad"/>
    <s v="Handbag"/>
    <x v="0"/>
    <n v="17019"/>
    <x v="24"/>
    <n v="4"/>
    <n v="68076"/>
  </r>
  <r>
    <n v="1001"/>
    <n v="2008"/>
    <n v="3032"/>
    <s v="Michael Mitchell"/>
    <n v="35"/>
    <s v="Mumbai"/>
    <s v="Earthen Diyas"/>
    <x v="2"/>
    <n v="2136"/>
    <x v="11"/>
    <n v="1"/>
    <n v="2136"/>
  </r>
  <r>
    <n v="1290"/>
    <n v="2011"/>
    <n v="3022"/>
    <s v="James Mclean"/>
    <n v="19"/>
    <s v="Chennai"/>
    <s v="Festive Thali"/>
    <x v="5"/>
    <n v="7481"/>
    <x v="9"/>
    <n v="4"/>
    <n v="29924"/>
  </r>
  <r>
    <n v="1244"/>
    <n v="2002"/>
    <n v="3016"/>
    <s v="Leonard Kim"/>
    <n v="18"/>
    <s v="Hyderabad"/>
    <s v="Saree"/>
    <x v="1"/>
    <n v="9534"/>
    <x v="33"/>
    <n v="1"/>
    <n v="9534"/>
  </r>
  <r>
    <n v="1204"/>
    <n v="2013"/>
    <n v="3020"/>
    <s v="William Freeman"/>
    <n v="49"/>
    <s v="Mumbai"/>
    <s v="Silver Coin"/>
    <x v="7"/>
    <n v="11845"/>
    <x v="24"/>
    <n v="3"/>
    <n v="35535"/>
  </r>
  <r>
    <n v="1108"/>
    <n v="2003"/>
    <n v="3001"/>
    <s v="Briana Jordan"/>
    <n v="39"/>
    <s v="Hyderabad"/>
    <s v="Kurta"/>
    <x v="1"/>
    <n v="13241"/>
    <x v="15"/>
    <n v="5"/>
    <n v="66205"/>
  </r>
  <r>
    <n v="1081"/>
    <n v="2010"/>
    <n v="3028"/>
    <s v="Lori Cox"/>
    <n v="59"/>
    <s v="Mumbai"/>
    <s v="Chocolate Box"/>
    <x v="4"/>
    <n v="17909"/>
    <x v="15"/>
    <n v="4"/>
    <n v="71636"/>
  </r>
  <r>
    <n v="1294"/>
    <n v="2019"/>
    <n v="3034"/>
    <s v="Nathaniel Beck"/>
    <n v="36"/>
    <s v="Kolkata"/>
    <s v="Designer Kurti"/>
    <x v="1"/>
    <n v="13620"/>
    <x v="25"/>
    <n v="5"/>
    <n v="68100"/>
  </r>
  <r>
    <n v="1152"/>
    <n v="2005"/>
    <n v="3014"/>
    <s v="Randy Harrell"/>
    <n v="55"/>
    <s v="Delhi"/>
    <s v="LED Lamp"/>
    <x v="2"/>
    <n v="3828"/>
    <x v="15"/>
    <n v="4"/>
    <n v="15312"/>
  </r>
  <r>
    <n v="1122"/>
    <n v="2019"/>
    <n v="3023"/>
    <s v="Tammy Dean"/>
    <n v="59"/>
    <s v="Delhi"/>
    <s v="Designer Kurti"/>
    <x v="1"/>
    <n v="13620"/>
    <x v="27"/>
    <n v="4"/>
    <n v="54480"/>
  </r>
  <r>
    <n v="1186"/>
    <n v="2011"/>
    <n v="3015"/>
    <s v="Molly Hansen"/>
    <n v="50"/>
    <s v="Chennai"/>
    <s v="Festive Thali"/>
    <x v="5"/>
    <n v="7481"/>
    <x v="12"/>
    <n v="5"/>
    <n v="37405"/>
  </r>
  <r>
    <n v="1162"/>
    <n v="2009"/>
    <n v="3032"/>
    <s v="Jamie Jarvis"/>
    <n v="38"/>
    <s v="Kolkata"/>
    <s v="Bluetooth Speaker"/>
    <x v="3"/>
    <n v="11047"/>
    <x v="39"/>
    <n v="5"/>
    <n v="55235"/>
  </r>
  <r>
    <n v="1204"/>
    <n v="2001"/>
    <n v="3035"/>
    <s v="William Freeman"/>
    <n v="49"/>
    <s v="Mumbai"/>
    <s v="Sweets Box"/>
    <x v="4"/>
    <n v="7228"/>
    <x v="24"/>
    <n v="3"/>
    <n v="21684"/>
  </r>
  <r>
    <n v="1170"/>
    <n v="2007"/>
    <n v="3025"/>
    <s v="Gerald Sanders"/>
    <n v="52"/>
    <s v="Kolkata"/>
    <s v="Gift Hamper"/>
    <x v="4"/>
    <n v="3412"/>
    <x v="5"/>
    <n v="4"/>
    <n v="13648"/>
  </r>
  <r>
    <n v="1083"/>
    <n v="2014"/>
    <n v="3021"/>
    <s v="James Barrera"/>
    <n v="31"/>
    <s v="Pune"/>
    <s v="Gold Coin"/>
    <x v="7"/>
    <n v="13823"/>
    <x v="1"/>
    <n v="4"/>
    <n v="55292"/>
  </r>
  <r>
    <n v="1172"/>
    <n v="2025"/>
    <n v="3024"/>
    <s v="Angela Rivera"/>
    <n v="44"/>
    <s v="Mumbai"/>
    <s v="Handbag"/>
    <x v="0"/>
    <n v="17019"/>
    <x v="0"/>
    <n v="4"/>
    <n v="68076"/>
  </r>
  <r>
    <n v="1012"/>
    <n v="2010"/>
    <n v="3002"/>
    <s v="John Dunlap"/>
    <n v="52"/>
    <s v="Delhi"/>
    <s v="Chocolate Box"/>
    <x v="4"/>
    <n v="17909"/>
    <x v="10"/>
    <n v="2"/>
    <n v="35818"/>
  </r>
  <r>
    <n v="1290"/>
    <n v="2022"/>
    <n v="3026"/>
    <s v="James Mclean"/>
    <n v="19"/>
    <s v="Chennai"/>
    <s v="Home Decor Statue"/>
    <x v="2"/>
    <n v="17149"/>
    <x v="9"/>
    <n v="4"/>
    <n v="68596"/>
  </r>
  <r>
    <n v="1194"/>
    <n v="2023"/>
    <n v="3032"/>
    <s v="Danielle Davis"/>
    <n v="41"/>
    <s v="Chennai"/>
    <s v="Kids Wear"/>
    <x v="1"/>
    <n v="4794"/>
    <x v="22"/>
    <n v="2"/>
    <n v="9588"/>
  </r>
  <r>
    <n v="1273"/>
    <n v="2012"/>
    <n v="3030"/>
    <s v="Anthony Mayer"/>
    <n v="47"/>
    <s v="Pune"/>
    <s v="Wall Hanging"/>
    <x v="2"/>
    <n v="11867"/>
    <x v="20"/>
    <n v="1"/>
    <n v="11867"/>
  </r>
  <r>
    <n v="1178"/>
    <n v="2010"/>
    <n v="3012"/>
    <s v="Kathleen Fox"/>
    <n v="55"/>
    <s v="Delhi"/>
    <s v="Chocolate Box"/>
    <x v="4"/>
    <n v="17909"/>
    <x v="27"/>
    <n v="3"/>
    <n v="53727"/>
  </r>
  <r>
    <n v="1195"/>
    <n v="2001"/>
    <n v="3012"/>
    <s v="Brianna Robertson"/>
    <n v="50"/>
    <s v="Kolkata"/>
    <s v="Sweets Box"/>
    <x v="4"/>
    <n v="7228"/>
    <x v="7"/>
    <n v="4"/>
    <n v="28912"/>
  </r>
  <r>
    <n v="1253"/>
    <n v="2009"/>
    <n v="3031"/>
    <s v="Javier Lewis"/>
    <n v="40"/>
    <s v="Bangalore"/>
    <s v="Bluetooth Speaker"/>
    <x v="3"/>
    <n v="11047"/>
    <x v="2"/>
    <n v="4"/>
    <n v="44188"/>
  </r>
  <r>
    <n v="1209"/>
    <n v="2004"/>
    <n v="3029"/>
    <s v="Emily Rodriguez"/>
    <n v="20"/>
    <s v="Kolkata"/>
    <s v="Smartphone"/>
    <x v="3"/>
    <n v="4952"/>
    <x v="11"/>
    <n v="2"/>
    <n v="9904"/>
  </r>
  <r>
    <n v="1135"/>
    <n v="2011"/>
    <n v="3007"/>
    <s v="Curtis Gonzales"/>
    <n v="47"/>
    <s v="Bangalore"/>
    <s v="Festive Thali"/>
    <x v="5"/>
    <n v="7481"/>
    <x v="23"/>
    <n v="5"/>
    <n v="37405"/>
  </r>
  <r>
    <n v="1285"/>
    <n v="2014"/>
    <n v="3033"/>
    <s v="Deborah Hill"/>
    <n v="47"/>
    <s v="Delhi"/>
    <s v="Gold Coin"/>
    <x v="7"/>
    <n v="13823"/>
    <x v="29"/>
    <n v="4"/>
    <n v="55292"/>
  </r>
  <r>
    <n v="1244"/>
    <n v="2013"/>
    <n v="3012"/>
    <s v="Leonard Kim"/>
    <n v="18"/>
    <s v="Hyderabad"/>
    <s v="Silver Coin"/>
    <x v="7"/>
    <n v="11845"/>
    <x v="33"/>
    <n v="1"/>
    <n v="11845"/>
  </r>
  <r>
    <n v="1281"/>
    <n v="2007"/>
    <n v="3028"/>
    <s v="Kristen Richards"/>
    <n v="41"/>
    <s v="Mumbai"/>
    <s v="Gift Hamper"/>
    <x v="4"/>
    <n v="3412"/>
    <x v="40"/>
    <n v="5"/>
    <n v="17060"/>
  </r>
  <r>
    <n v="1148"/>
    <n v="2001"/>
    <n v="3035"/>
    <s v="Kathryn Le"/>
    <n v="41"/>
    <s v="Pune"/>
    <s v="Sweets Box"/>
    <x v="4"/>
    <n v="7228"/>
    <x v="33"/>
    <n v="2"/>
    <n v="14456"/>
  </r>
  <r>
    <n v="1099"/>
    <n v="2013"/>
    <n v="3012"/>
    <s v="Paul Chan"/>
    <n v="62"/>
    <s v="Hyderabad"/>
    <s v="Silver Coin"/>
    <x v="7"/>
    <n v="11845"/>
    <x v="10"/>
    <n v="5"/>
    <n v="59225"/>
  </r>
  <r>
    <n v="1213"/>
    <n v="2010"/>
    <n v="3032"/>
    <s v="Michael Compton"/>
    <n v="55"/>
    <s v="Mumbai"/>
    <s v="Chocolate Box"/>
    <x v="4"/>
    <n v="17909"/>
    <x v="3"/>
    <n v="1"/>
    <n v="17909"/>
  </r>
  <r>
    <n v="1069"/>
    <n v="2020"/>
    <n v="3031"/>
    <s v="Calvin Wright"/>
    <n v="63"/>
    <s v="Chennai"/>
    <s v="Ethnic Jewelry"/>
    <x v="7"/>
    <n v="4495"/>
    <x v="22"/>
    <n v="2"/>
    <n v="8990"/>
  </r>
  <r>
    <n v="1061"/>
    <n v="2025"/>
    <n v="3031"/>
    <s v="Alexander Gonzalez"/>
    <n v="53"/>
    <s v="Pune"/>
    <s v="Handbag"/>
    <x v="0"/>
    <n v="17019"/>
    <x v="31"/>
    <n v="3"/>
    <n v="51057"/>
  </r>
  <r>
    <n v="1003"/>
    <n v="2019"/>
    <n v="3015"/>
    <s v="Amanda Miller"/>
    <n v="22"/>
    <s v="Chennai"/>
    <s v="Designer Kurti"/>
    <x v="1"/>
    <n v="13620"/>
    <x v="15"/>
    <n v="4"/>
    <n v="54480"/>
  </r>
  <r>
    <n v="1140"/>
    <n v="2025"/>
    <n v="3010"/>
    <s v="Alex Brown"/>
    <n v="27"/>
    <s v="Mumbai"/>
    <s v="Handbag"/>
    <x v="0"/>
    <n v="17019"/>
    <x v="10"/>
    <n v="2"/>
    <n v="34038"/>
  </r>
  <r>
    <n v="1206"/>
    <n v="2015"/>
    <n v="3008"/>
    <s v="Cynthia Martinez"/>
    <n v="34"/>
    <s v="Pune"/>
    <s v="Candle Set"/>
    <x v="2"/>
    <n v="17604"/>
    <x v="24"/>
    <n v="3"/>
    <n v="52812"/>
  </r>
  <r>
    <n v="1187"/>
    <n v="2025"/>
    <n v="3006"/>
    <s v="Steven Sosa"/>
    <n v="39"/>
    <s v="Chennai"/>
    <s v="Handbag"/>
    <x v="0"/>
    <n v="17019"/>
    <x v="15"/>
    <n v="4"/>
    <n v="68076"/>
  </r>
  <r>
    <n v="1008"/>
    <n v="2006"/>
    <n v="3030"/>
    <s v="Elizabeth Woods"/>
    <n v="61"/>
    <s v="Pune"/>
    <s v="Crackers Pack"/>
    <x v="6"/>
    <n v="12060"/>
    <x v="5"/>
    <n v="2"/>
    <n v="24120"/>
  </r>
  <r>
    <n v="1057"/>
    <n v="2020"/>
    <n v="3025"/>
    <s v="John Lopez"/>
    <n v="51"/>
    <s v="Bangalore"/>
    <s v="Ethnic Jewelry"/>
    <x v="7"/>
    <n v="4495"/>
    <x v="32"/>
    <n v="4"/>
    <n v="17980"/>
  </r>
  <r>
    <n v="1087"/>
    <n v="2007"/>
    <n v="3034"/>
    <s v="Jared Romero"/>
    <n v="26"/>
    <s v="Hyderabad"/>
    <s v="Gift Hamper"/>
    <x v="4"/>
    <n v="3412"/>
    <x v="10"/>
    <n v="5"/>
    <n v="17060"/>
  </r>
  <r>
    <n v="1106"/>
    <n v="2024"/>
    <n v="3024"/>
    <s v="Suzanne Green"/>
    <n v="31"/>
    <s v="Chennai"/>
    <s v="Perfume Gift Set"/>
    <x v="0"/>
    <n v="16272"/>
    <x v="34"/>
    <n v="5"/>
    <n v="81360"/>
  </r>
  <r>
    <n v="1136"/>
    <n v="2021"/>
    <n v="3017"/>
    <s v="Brooke Oliver"/>
    <n v="30"/>
    <s v="Chennai"/>
    <s v="Smartwatch"/>
    <x v="3"/>
    <n v="17586"/>
    <x v="0"/>
    <n v="4"/>
    <n v="70344"/>
  </r>
  <r>
    <n v="1298"/>
    <n v="2009"/>
    <n v="3002"/>
    <s v="Kim Smith"/>
    <n v="50"/>
    <s v="Chennai"/>
    <s v="Bluetooth Speaker"/>
    <x v="3"/>
    <n v="11047"/>
    <x v="26"/>
    <n v="3"/>
    <n v="33141"/>
  </r>
  <r>
    <n v="1284"/>
    <n v="2017"/>
    <n v="3031"/>
    <s v="Mary Glover"/>
    <n v="22"/>
    <s v="Pune"/>
    <s v="Handmade Pottery"/>
    <x v="2"/>
    <n v="8186"/>
    <x v="39"/>
    <n v="2"/>
    <n v="16372"/>
  </r>
  <r>
    <n v="1053"/>
    <n v="2006"/>
    <n v="3016"/>
    <s v="Brandon Martin"/>
    <n v="52"/>
    <s v="Kolkata"/>
    <s v="Crackers Pack"/>
    <x v="6"/>
    <n v="12060"/>
    <x v="12"/>
    <n v="3"/>
    <n v="36180"/>
  </r>
  <r>
    <n v="1210"/>
    <n v="2012"/>
    <n v="3032"/>
    <s v="Laura Wong"/>
    <n v="55"/>
    <s v="Delhi"/>
    <s v="Wall Hanging"/>
    <x v="2"/>
    <n v="11867"/>
    <x v="5"/>
    <n v="2"/>
    <n v="23734"/>
  </r>
  <r>
    <n v="1212"/>
    <n v="2002"/>
    <n v="3021"/>
    <s v="Ashley Green"/>
    <n v="41"/>
    <s v="Hyderabad"/>
    <s v="Saree"/>
    <x v="1"/>
    <n v="9534"/>
    <x v="24"/>
    <n v="4"/>
    <n v="38136"/>
  </r>
  <r>
    <n v="1138"/>
    <n v="2012"/>
    <n v="3027"/>
    <s v="Timothy Wells"/>
    <n v="18"/>
    <s v="Hyderabad"/>
    <s v="Wall Hanging"/>
    <x v="2"/>
    <n v="11867"/>
    <x v="39"/>
    <n v="1"/>
    <n v="11867"/>
  </r>
  <r>
    <n v="1037"/>
    <n v="2003"/>
    <n v="3018"/>
    <s v="Donald Wells"/>
    <n v="36"/>
    <s v="Delhi"/>
    <s v="Kurta"/>
    <x v="1"/>
    <n v="13241"/>
    <x v="29"/>
    <n v="5"/>
    <n v="66205"/>
  </r>
  <r>
    <n v="1299"/>
    <n v="2015"/>
    <n v="3034"/>
    <s v="Alison Collins"/>
    <n v="29"/>
    <s v="Pune"/>
    <s v="Candle Set"/>
    <x v="2"/>
    <n v="17604"/>
    <x v="19"/>
    <n v="2"/>
    <n v="35208"/>
  </r>
  <r>
    <n v="1247"/>
    <n v="2003"/>
    <n v="3011"/>
    <s v="Tyler Melendez Dvm"/>
    <n v="61"/>
    <s v="Delhi"/>
    <s v="Kurta"/>
    <x v="1"/>
    <n v="13241"/>
    <x v="12"/>
    <n v="5"/>
    <n v="66205"/>
  </r>
  <r>
    <n v="1011"/>
    <n v="2018"/>
    <n v="3022"/>
    <s v="Lindsey West"/>
    <n v="19"/>
    <s v="Hyderabad"/>
    <s v="Dry Fruits Pack"/>
    <x v="4"/>
    <n v="7243"/>
    <x v="21"/>
    <n v="3"/>
    <n v="21729"/>
  </r>
  <r>
    <n v="1053"/>
    <n v="2002"/>
    <n v="3008"/>
    <s v="Brandon Martin"/>
    <n v="52"/>
    <s v="Kolkata"/>
    <s v="Saree"/>
    <x v="1"/>
    <n v="9534"/>
    <x v="12"/>
    <n v="3"/>
    <n v="28602"/>
  </r>
  <r>
    <n v="1296"/>
    <n v="2001"/>
    <n v="3011"/>
    <s v="Robert Lee"/>
    <n v="40"/>
    <s v="Pune"/>
    <s v="Sweets Box"/>
    <x v="4"/>
    <n v="7228"/>
    <x v="13"/>
    <n v="1"/>
    <n v="7228"/>
  </r>
  <r>
    <n v="1185"/>
    <n v="2001"/>
    <n v="3032"/>
    <s v="Patrick Osborn"/>
    <n v="52"/>
    <s v="Mumbai"/>
    <s v="Sweets Box"/>
    <x v="4"/>
    <n v="7228"/>
    <x v="14"/>
    <n v="4"/>
    <n v="28912"/>
  </r>
  <r>
    <n v="1163"/>
    <n v="2021"/>
    <n v="3022"/>
    <s v="Amy Hernandez"/>
    <n v="18"/>
    <s v="Chennai"/>
    <s v="Smartwatch"/>
    <x v="3"/>
    <n v="17586"/>
    <x v="28"/>
    <n v="4"/>
    <n v="70344"/>
  </r>
  <r>
    <n v="1173"/>
    <n v="2001"/>
    <n v="3026"/>
    <s v="Emily Martin"/>
    <n v="51"/>
    <s v="Chennai"/>
    <s v="Sweets Box"/>
    <x v="4"/>
    <n v="7228"/>
    <x v="12"/>
    <n v="4"/>
    <n v="28912"/>
  </r>
  <r>
    <n v="1170"/>
    <n v="2017"/>
    <n v="3016"/>
    <s v="Gerald Sanders"/>
    <n v="52"/>
    <s v="Kolkata"/>
    <s v="Handmade Pottery"/>
    <x v="2"/>
    <n v="8186"/>
    <x v="5"/>
    <n v="4"/>
    <n v="32744"/>
  </r>
  <r>
    <n v="1007"/>
    <n v="2007"/>
    <n v="3004"/>
    <s v="Daniel Quinn"/>
    <n v="40"/>
    <s v="Pune"/>
    <s v="Gift Hamper"/>
    <x v="4"/>
    <n v="3412"/>
    <x v="1"/>
    <n v="2"/>
    <n v="6824"/>
  </r>
  <r>
    <n v="1144"/>
    <n v="2007"/>
    <n v="3021"/>
    <s v="Amanda Henry"/>
    <n v="63"/>
    <s v="Hyderabad"/>
    <s v="Gift Hamper"/>
    <x v="4"/>
    <n v="3412"/>
    <x v="27"/>
    <n v="5"/>
    <n v="17060"/>
  </r>
  <r>
    <n v="1144"/>
    <n v="2014"/>
    <n v="3012"/>
    <s v="Amanda Henry"/>
    <n v="63"/>
    <s v="Hyderabad"/>
    <s v="Gold Coin"/>
    <x v="7"/>
    <n v="13823"/>
    <x v="27"/>
    <n v="5"/>
    <n v="69115"/>
  </r>
  <r>
    <n v="1262"/>
    <n v="2023"/>
    <n v="3033"/>
    <s v="Ricardo Lewis Phd"/>
    <n v="27"/>
    <s v="Hyderabad"/>
    <s v="Kids Wear"/>
    <x v="1"/>
    <n v="4794"/>
    <x v="16"/>
    <n v="1"/>
    <n v="4794"/>
  </r>
  <r>
    <n v="1168"/>
    <n v="2022"/>
    <n v="3029"/>
    <s v="John Daniels"/>
    <n v="40"/>
    <s v="Kolkata"/>
    <s v="Home Decor Statue"/>
    <x v="2"/>
    <n v="17149"/>
    <x v="27"/>
    <n v="5"/>
    <n v="85745"/>
  </r>
  <r>
    <n v="1295"/>
    <n v="2019"/>
    <n v="3030"/>
    <s v="Alicia Wallace"/>
    <n v="34"/>
    <s v="Mumbai"/>
    <s v="Designer Kurti"/>
    <x v="1"/>
    <n v="13620"/>
    <x v="6"/>
    <n v="2"/>
    <n v="27240"/>
  </r>
  <r>
    <n v="1143"/>
    <n v="2007"/>
    <n v="3015"/>
    <s v="Corey Kidd"/>
    <n v="58"/>
    <s v="Hyderabad"/>
    <s v="Gift Hamper"/>
    <x v="4"/>
    <n v="3412"/>
    <x v="1"/>
    <n v="5"/>
    <n v="17060"/>
  </r>
  <r>
    <n v="1189"/>
    <n v="2017"/>
    <n v="3027"/>
    <s v="Kaitlyn Hickman"/>
    <n v="21"/>
    <s v="Delhi"/>
    <s v="Handmade Pottery"/>
    <x v="2"/>
    <n v="8186"/>
    <x v="30"/>
    <n v="2"/>
    <n v="16372"/>
  </r>
  <r>
    <n v="1210"/>
    <n v="2020"/>
    <n v="3001"/>
    <s v="Laura Wong"/>
    <n v="55"/>
    <s v="Delhi"/>
    <s v="Ethnic Jewelry"/>
    <x v="7"/>
    <n v="4495"/>
    <x v="5"/>
    <n v="2"/>
    <n v="8990"/>
  </r>
  <r>
    <n v="1257"/>
    <n v="2002"/>
    <n v="3012"/>
    <s v="Eric Terry"/>
    <n v="57"/>
    <s v="Delhi"/>
    <s v="Saree"/>
    <x v="1"/>
    <n v="9534"/>
    <x v="18"/>
    <n v="4"/>
    <n v="38136"/>
  </r>
  <r>
    <n v="1105"/>
    <n v="2004"/>
    <n v="3013"/>
    <s v="Randall Odonnell"/>
    <n v="33"/>
    <s v="Mumbai"/>
    <s v="Smartphone"/>
    <x v="3"/>
    <n v="4952"/>
    <x v="5"/>
    <n v="1"/>
    <n v="4952"/>
  </r>
  <r>
    <n v="1145"/>
    <n v="2016"/>
    <n v="3007"/>
    <s v="Valerie Love"/>
    <n v="51"/>
    <s v="Mumbai"/>
    <s v="Fairy Lights"/>
    <x v="2"/>
    <n v="12242"/>
    <x v="13"/>
    <n v="3"/>
    <n v="36726"/>
  </r>
  <r>
    <n v="1084"/>
    <n v="2010"/>
    <n v="3031"/>
    <s v="Sharon Baker"/>
    <n v="48"/>
    <s v="Chennai"/>
    <s v="Chocolate Box"/>
    <x v="4"/>
    <n v="17909"/>
    <x v="9"/>
    <n v="2"/>
    <n v="35818"/>
  </r>
  <r>
    <n v="1293"/>
    <n v="2021"/>
    <n v="3026"/>
    <s v="Debbie Rocha"/>
    <n v="33"/>
    <s v="Hyderabad"/>
    <s v="Smartwatch"/>
    <x v="3"/>
    <n v="17586"/>
    <x v="7"/>
    <n v="4"/>
    <n v="70344"/>
  </r>
  <r>
    <n v="1190"/>
    <n v="2007"/>
    <n v="3014"/>
    <s v="Mark Stanton"/>
    <n v="29"/>
    <s v="Delhi"/>
    <s v="Gift Hamper"/>
    <x v="4"/>
    <n v="3412"/>
    <x v="35"/>
    <n v="5"/>
    <n v="17060"/>
  </r>
  <r>
    <n v="1262"/>
    <n v="2012"/>
    <n v="3027"/>
    <s v="Ricardo Lewis Phd"/>
    <n v="27"/>
    <s v="Hyderabad"/>
    <s v="Wall Hanging"/>
    <x v="2"/>
    <n v="11867"/>
    <x v="16"/>
    <n v="1"/>
    <n v="11867"/>
  </r>
  <r>
    <n v="1210"/>
    <n v="2009"/>
    <n v="3022"/>
    <s v="Laura Wong"/>
    <n v="55"/>
    <s v="Delhi"/>
    <s v="Bluetooth Speaker"/>
    <x v="3"/>
    <n v="11047"/>
    <x v="5"/>
    <n v="2"/>
    <n v="22094"/>
  </r>
  <r>
    <n v="1038"/>
    <n v="2016"/>
    <n v="3017"/>
    <s v="Eric Escobar"/>
    <n v="64"/>
    <s v="Pune"/>
    <s v="Fairy Lights"/>
    <x v="2"/>
    <n v="12242"/>
    <x v="12"/>
    <n v="4"/>
    <n v="48968"/>
  </r>
  <r>
    <n v="1015"/>
    <n v="2025"/>
    <n v="3008"/>
    <s v="Jennifer Moore"/>
    <n v="30"/>
    <s v="Chennai"/>
    <s v="Handbag"/>
    <x v="0"/>
    <n v="17019"/>
    <x v="28"/>
    <n v="3"/>
    <n v="51057"/>
  </r>
  <r>
    <n v="1207"/>
    <n v="2017"/>
    <n v="3031"/>
    <s v="Jeffrey Curtis"/>
    <n v="26"/>
    <s v="Mumbai"/>
    <s v="Handmade Pottery"/>
    <x v="2"/>
    <n v="8186"/>
    <x v="26"/>
    <n v="1"/>
    <n v="8186"/>
  </r>
  <r>
    <n v="1009"/>
    <n v="2007"/>
    <n v="3002"/>
    <s v="Kayla Long"/>
    <n v="57"/>
    <s v="Pune"/>
    <s v="Gift Hamper"/>
    <x v="4"/>
    <n v="3412"/>
    <x v="10"/>
    <n v="2"/>
    <n v="6824"/>
  </r>
  <r>
    <n v="1223"/>
    <n v="2017"/>
    <n v="3010"/>
    <s v="Barry Wilson"/>
    <n v="54"/>
    <s v="Chennai"/>
    <s v="Handmade Pottery"/>
    <x v="2"/>
    <n v="8186"/>
    <x v="20"/>
    <n v="4"/>
    <n v="32744"/>
  </r>
  <r>
    <n v="1058"/>
    <n v="2017"/>
    <n v="3006"/>
    <s v="Jo Roberson"/>
    <n v="44"/>
    <s v="Chennai"/>
    <s v="Handmade Pottery"/>
    <x v="2"/>
    <n v="8186"/>
    <x v="7"/>
    <n v="5"/>
    <n v="40930"/>
  </r>
  <r>
    <n v="1062"/>
    <n v="2001"/>
    <n v="3007"/>
    <s v="William Murphy"/>
    <n v="34"/>
    <s v="Chennai"/>
    <s v="Sweets Box"/>
    <x v="4"/>
    <n v="7228"/>
    <x v="8"/>
    <n v="1"/>
    <n v="7228"/>
  </r>
  <r>
    <n v="1245"/>
    <n v="2025"/>
    <n v="3012"/>
    <s v="Donna Wheeler"/>
    <n v="61"/>
    <s v="Hyderabad"/>
    <s v="Handbag"/>
    <x v="0"/>
    <n v="17019"/>
    <x v="6"/>
    <n v="4"/>
    <n v="68076"/>
  </r>
  <r>
    <n v="1198"/>
    <n v="2013"/>
    <n v="3019"/>
    <s v="Eric Lopez"/>
    <n v="60"/>
    <s v="Bangalore"/>
    <s v="Silver Coin"/>
    <x v="7"/>
    <n v="11845"/>
    <x v="21"/>
    <n v="1"/>
    <n v="11845"/>
  </r>
  <r>
    <n v="1144"/>
    <n v="2013"/>
    <n v="3026"/>
    <s v="Amanda Henry"/>
    <n v="63"/>
    <s v="Hyderabad"/>
    <s v="Silver Coin"/>
    <x v="7"/>
    <n v="11845"/>
    <x v="27"/>
    <n v="5"/>
    <n v="59225"/>
  </r>
  <r>
    <n v="1081"/>
    <n v="2002"/>
    <n v="3034"/>
    <s v="Lori Cox"/>
    <n v="59"/>
    <s v="Mumbai"/>
    <s v="Saree"/>
    <x v="1"/>
    <n v="9534"/>
    <x v="15"/>
    <n v="4"/>
    <n v="38136"/>
  </r>
  <r>
    <n v="1060"/>
    <n v="2011"/>
    <n v="3018"/>
    <s v="Kayla Aguilar"/>
    <n v="27"/>
    <s v="Hyderabad"/>
    <s v="Festive Thali"/>
    <x v="5"/>
    <n v="7481"/>
    <x v="25"/>
    <n v="5"/>
    <n v="37405"/>
  </r>
  <r>
    <n v="1188"/>
    <n v="2021"/>
    <n v="3022"/>
    <s v="Timothy Graham"/>
    <n v="33"/>
    <s v="Kolkata"/>
    <s v="Smartwatch"/>
    <x v="3"/>
    <n v="17586"/>
    <x v="20"/>
    <n v="3"/>
    <n v="52758"/>
  </r>
  <r>
    <n v="1058"/>
    <n v="2002"/>
    <n v="3029"/>
    <s v="Jo Roberson"/>
    <n v="44"/>
    <s v="Chennai"/>
    <s v="Saree"/>
    <x v="1"/>
    <n v="9534"/>
    <x v="7"/>
    <n v="5"/>
    <n v="47670"/>
  </r>
  <r>
    <n v="1297"/>
    <n v="2010"/>
    <n v="3004"/>
    <s v="Samantha Mendoza"/>
    <n v="19"/>
    <s v="Pune"/>
    <s v="Chocolate Box"/>
    <x v="4"/>
    <n v="17909"/>
    <x v="10"/>
    <n v="3"/>
    <n v="53727"/>
  </r>
  <r>
    <n v="1159"/>
    <n v="2014"/>
    <n v="3019"/>
    <s v="William Smith"/>
    <n v="65"/>
    <s v="Mumbai"/>
    <s v="Gold Coin"/>
    <x v="7"/>
    <n v="13823"/>
    <x v="37"/>
    <n v="2"/>
    <n v="27646"/>
  </r>
  <r>
    <n v="1157"/>
    <n v="2016"/>
    <n v="3009"/>
    <s v="John West"/>
    <n v="22"/>
    <s v="Pune"/>
    <s v="Fairy Lights"/>
    <x v="2"/>
    <n v="12242"/>
    <x v="1"/>
    <n v="2"/>
    <n v="24484"/>
  </r>
  <r>
    <n v="1046"/>
    <n v="2023"/>
    <n v="3009"/>
    <s v="Leslie Little"/>
    <n v="34"/>
    <s v="Chennai"/>
    <s v="Kids Wear"/>
    <x v="1"/>
    <n v="4794"/>
    <x v="13"/>
    <n v="5"/>
    <n v="23970"/>
  </r>
  <r>
    <n v="1082"/>
    <n v="2018"/>
    <n v="3003"/>
    <s v="Sharon Phillips"/>
    <n v="43"/>
    <s v="Bangalore"/>
    <s v="Dry Fruits Pack"/>
    <x v="4"/>
    <n v="7243"/>
    <x v="9"/>
    <n v="5"/>
    <n v="36215"/>
  </r>
  <r>
    <n v="1033"/>
    <n v="2025"/>
    <n v="3011"/>
    <s v="Maria Holt"/>
    <n v="18"/>
    <s v="Bangalore"/>
    <s v="Handbag"/>
    <x v="0"/>
    <n v="17019"/>
    <x v="22"/>
    <n v="4"/>
    <n v="68076"/>
  </r>
  <r>
    <n v="1225"/>
    <n v="2013"/>
    <n v="3033"/>
    <s v="Robert Perez"/>
    <n v="39"/>
    <s v="Chennai"/>
    <s v="Silver Coin"/>
    <x v="7"/>
    <n v="11845"/>
    <x v="36"/>
    <n v="5"/>
    <n v="59225"/>
  </r>
  <r>
    <n v="1118"/>
    <n v="2023"/>
    <n v="3003"/>
    <s v="Jillian Khan"/>
    <n v="29"/>
    <s v="Pune"/>
    <s v="Kids Wear"/>
    <x v="1"/>
    <n v="4794"/>
    <x v="32"/>
    <n v="3"/>
    <n v="14382"/>
  </r>
  <r>
    <n v="1215"/>
    <n v="2018"/>
    <n v="3015"/>
    <s v="Brent Murphy"/>
    <n v="57"/>
    <s v="Hyderabad"/>
    <s v="Dry Fruits Pack"/>
    <x v="4"/>
    <n v="7243"/>
    <x v="31"/>
    <n v="2"/>
    <n v="14486"/>
  </r>
  <r>
    <n v="1172"/>
    <n v="2017"/>
    <n v="3028"/>
    <s v="Angela Rivera"/>
    <n v="44"/>
    <s v="Mumbai"/>
    <s v="Handmade Pottery"/>
    <x v="2"/>
    <n v="8186"/>
    <x v="0"/>
    <n v="4"/>
    <n v="32744"/>
  </r>
  <r>
    <n v="1058"/>
    <n v="2025"/>
    <n v="3030"/>
    <s v="Jo Roberson"/>
    <n v="44"/>
    <s v="Chennai"/>
    <s v="Handbag"/>
    <x v="0"/>
    <n v="17019"/>
    <x v="7"/>
    <n v="5"/>
    <n v="85095"/>
  </r>
  <r>
    <n v="1255"/>
    <n v="2003"/>
    <n v="3007"/>
    <s v="Sarah Day"/>
    <n v="48"/>
    <s v="Mumbai"/>
    <s v="Kurta"/>
    <x v="1"/>
    <n v="13241"/>
    <x v="0"/>
    <n v="4"/>
    <n v="52964"/>
  </r>
  <r>
    <n v="1224"/>
    <n v="2021"/>
    <n v="3024"/>
    <s v="Joseph Garrett"/>
    <n v="58"/>
    <s v="Pune"/>
    <s v="Smartwatch"/>
    <x v="3"/>
    <n v="17586"/>
    <x v="35"/>
    <n v="2"/>
    <n v="35172"/>
  </r>
  <r>
    <n v="1137"/>
    <n v="2021"/>
    <n v="3017"/>
    <s v="Karen Perez"/>
    <n v="61"/>
    <s v="Mumbai"/>
    <s v="Smartwatch"/>
    <x v="3"/>
    <n v="17586"/>
    <x v="30"/>
    <n v="4"/>
    <n v="70344"/>
  </r>
  <r>
    <n v="1256"/>
    <n v="2008"/>
    <n v="3019"/>
    <s v="Kevin Luna"/>
    <n v="18"/>
    <s v="Bangalore"/>
    <s v="Earthen Diyas"/>
    <x v="2"/>
    <n v="2136"/>
    <x v="25"/>
    <n v="3"/>
    <n v="6408"/>
  </r>
  <r>
    <n v="1259"/>
    <n v="2008"/>
    <n v="3004"/>
    <s v="Joshua Mccormick"/>
    <n v="63"/>
    <s v="Mumbai"/>
    <s v="Earthen Diyas"/>
    <x v="2"/>
    <n v="2136"/>
    <x v="25"/>
    <n v="3"/>
    <n v="6408"/>
  </r>
  <r>
    <n v="1133"/>
    <n v="2023"/>
    <n v="3025"/>
    <s v="Timothy Hunt"/>
    <n v="37"/>
    <s v="Kolkata"/>
    <s v="Kids Wear"/>
    <x v="1"/>
    <n v="4794"/>
    <x v="18"/>
    <n v="4"/>
    <n v="19176"/>
  </r>
  <r>
    <n v="1272"/>
    <n v="2020"/>
    <n v="3017"/>
    <s v="John Miller"/>
    <n v="39"/>
    <s v="Kolkata"/>
    <s v="Ethnic Jewelry"/>
    <x v="7"/>
    <n v="4495"/>
    <x v="13"/>
    <n v="2"/>
    <n v="8990"/>
  </r>
  <r>
    <n v="1190"/>
    <n v="2009"/>
    <n v="3031"/>
    <s v="Mark Stanton"/>
    <n v="29"/>
    <s v="Delhi"/>
    <s v="Bluetooth Speaker"/>
    <x v="3"/>
    <n v="11047"/>
    <x v="35"/>
    <n v="5"/>
    <n v="55235"/>
  </r>
  <r>
    <n v="1246"/>
    <n v="2013"/>
    <n v="3022"/>
    <s v="Casey Bailey"/>
    <n v="18"/>
    <s v="Bangalore"/>
    <s v="Silver Coin"/>
    <x v="7"/>
    <n v="11845"/>
    <x v="26"/>
    <n v="2"/>
    <n v="23690"/>
  </r>
  <r>
    <n v="1109"/>
    <n v="2018"/>
    <n v="3005"/>
    <s v="Benjamin Blackwell"/>
    <n v="21"/>
    <s v="Delhi"/>
    <s v="Dry Fruits Pack"/>
    <x v="4"/>
    <n v="7243"/>
    <x v="36"/>
    <n v="2"/>
    <n v="14486"/>
  </r>
  <r>
    <n v="1184"/>
    <n v="2012"/>
    <n v="3022"/>
    <s v="Scott Short"/>
    <n v="41"/>
    <s v="Hyderabad"/>
    <s v="Wall Hanging"/>
    <x v="2"/>
    <n v="11867"/>
    <x v="21"/>
    <n v="1"/>
    <n v="11867"/>
  </r>
  <r>
    <n v="1136"/>
    <n v="2011"/>
    <n v="3019"/>
    <s v="Brooke Oliver"/>
    <n v="30"/>
    <s v="Chennai"/>
    <s v="Festive Thali"/>
    <x v="5"/>
    <n v="7481"/>
    <x v="0"/>
    <n v="4"/>
    <n v="29924"/>
  </r>
  <r>
    <n v="1283"/>
    <n v="2020"/>
    <n v="3002"/>
    <s v="Gregory Richardson"/>
    <n v="62"/>
    <s v="Chennai"/>
    <s v="Ethnic Jewelry"/>
    <x v="7"/>
    <n v="4495"/>
    <x v="4"/>
    <n v="5"/>
    <n v="22475"/>
  </r>
  <r>
    <n v="1037"/>
    <n v="2011"/>
    <n v="3019"/>
    <s v="Donald Wells"/>
    <n v="36"/>
    <s v="Delhi"/>
    <s v="Festive Thali"/>
    <x v="5"/>
    <n v="7481"/>
    <x v="29"/>
    <n v="5"/>
    <n v="37405"/>
  </r>
  <r>
    <n v="1196"/>
    <n v="2017"/>
    <n v="3030"/>
    <s v="Cynthia Martin"/>
    <n v="20"/>
    <s v="Hyderabad"/>
    <s v="Handmade Pottery"/>
    <x v="2"/>
    <n v="8186"/>
    <x v="16"/>
    <n v="2"/>
    <n v="16372"/>
  </r>
  <r>
    <n v="1265"/>
    <n v="2022"/>
    <n v="3024"/>
    <s v="Cynthia Chen"/>
    <n v="30"/>
    <s v="Mumbai"/>
    <s v="Home Decor Statue"/>
    <x v="2"/>
    <n v="17149"/>
    <x v="38"/>
    <n v="2"/>
    <n v="34298"/>
  </r>
  <r>
    <n v="1067"/>
    <n v="2020"/>
    <n v="3006"/>
    <s v="Carrie Landry"/>
    <n v="39"/>
    <s v="Bangalore"/>
    <s v="Ethnic Jewelry"/>
    <x v="7"/>
    <n v="4495"/>
    <x v="27"/>
    <n v="5"/>
    <n v="22475"/>
  </r>
  <r>
    <n v="1174"/>
    <n v="2022"/>
    <n v="3022"/>
    <s v="Eric West"/>
    <n v="23"/>
    <s v="Hyderabad"/>
    <s v="Home Decor Statue"/>
    <x v="2"/>
    <n v="17149"/>
    <x v="20"/>
    <n v="3"/>
    <n v="51447"/>
  </r>
  <r>
    <n v="1047"/>
    <n v="2016"/>
    <n v="3003"/>
    <s v="Lynn Henderson"/>
    <n v="40"/>
    <s v="Delhi"/>
    <s v="Fairy Lights"/>
    <x v="2"/>
    <n v="12242"/>
    <x v="5"/>
    <n v="5"/>
    <n v="61210"/>
  </r>
  <r>
    <n v="1082"/>
    <n v="2015"/>
    <n v="3010"/>
    <s v="Sharon Phillips"/>
    <n v="43"/>
    <s v="Bangalore"/>
    <s v="Candle Set"/>
    <x v="2"/>
    <n v="17604"/>
    <x v="9"/>
    <n v="5"/>
    <n v="88020"/>
  </r>
  <r>
    <n v="1023"/>
    <n v="2011"/>
    <n v="3001"/>
    <s v="Daniel Williams"/>
    <n v="45"/>
    <s v="Pune"/>
    <s v="Festive Thali"/>
    <x v="5"/>
    <n v="7481"/>
    <x v="20"/>
    <n v="3"/>
    <n v="22443"/>
  </r>
  <r>
    <n v="1006"/>
    <n v="2022"/>
    <n v="3007"/>
    <s v="Melissa Peterson"/>
    <n v="49"/>
    <s v="Delhi"/>
    <s v="Home Decor Statue"/>
    <x v="2"/>
    <n v="17149"/>
    <x v="30"/>
    <n v="4"/>
    <n v="68596"/>
  </r>
  <r>
    <n v="1144"/>
    <n v="2020"/>
    <n v="3024"/>
    <s v="Amanda Henry"/>
    <n v="63"/>
    <s v="Hyderabad"/>
    <s v="Ethnic Jewelry"/>
    <x v="7"/>
    <n v="4495"/>
    <x v="27"/>
    <n v="5"/>
    <n v="22475"/>
  </r>
  <r>
    <n v="1019"/>
    <n v="2007"/>
    <n v="3001"/>
    <s v="Brenda Dunn"/>
    <n v="23"/>
    <s v="Pune"/>
    <s v="Gift Hamper"/>
    <x v="4"/>
    <n v="3412"/>
    <x v="19"/>
    <n v="3"/>
    <n v="10236"/>
  </r>
  <r>
    <n v="1270"/>
    <n v="2016"/>
    <n v="3026"/>
    <s v="Keith Diaz"/>
    <n v="45"/>
    <s v="Pune"/>
    <s v="Fairy Lights"/>
    <x v="2"/>
    <n v="12242"/>
    <x v="21"/>
    <n v="2"/>
    <n v="24484"/>
  </r>
  <r>
    <n v="1099"/>
    <n v="2020"/>
    <n v="3021"/>
    <s v="Paul Chan"/>
    <n v="62"/>
    <s v="Hyderabad"/>
    <s v="Ethnic Jewelry"/>
    <x v="7"/>
    <n v="4495"/>
    <x v="10"/>
    <n v="5"/>
    <n v="22475"/>
  </r>
  <r>
    <n v="1188"/>
    <n v="2012"/>
    <n v="3016"/>
    <s v="Timothy Graham"/>
    <n v="33"/>
    <s v="Kolkata"/>
    <s v="Wall Hanging"/>
    <x v="2"/>
    <n v="11867"/>
    <x v="20"/>
    <n v="3"/>
    <n v="35601"/>
  </r>
  <r>
    <m/>
    <m/>
    <m/>
    <m/>
    <m/>
    <m/>
    <m/>
    <x v="8"/>
    <m/>
    <x v="4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ECA79-6770-43E5-9248-201DC725187D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4">
        <item x="21"/>
        <item x="6"/>
        <item x="41"/>
        <item x="36"/>
        <item x="31"/>
        <item x="7"/>
        <item x="20"/>
        <item x="24"/>
        <item x="18"/>
        <item x="34"/>
        <item x="25"/>
        <item x="39"/>
        <item x="0"/>
        <item x="23"/>
        <item x="33"/>
        <item x="8"/>
        <item x="32"/>
        <item x="11"/>
        <item x="1"/>
        <item x="4"/>
        <item x="27"/>
        <item x="26"/>
        <item x="14"/>
        <item x="15"/>
        <item x="30"/>
        <item x="5"/>
        <item x="10"/>
        <item x="38"/>
        <item x="29"/>
        <item x="12"/>
        <item x="28"/>
        <item x="37"/>
        <item x="19"/>
        <item x="17"/>
        <item x="35"/>
        <item x="13"/>
        <item x="16"/>
        <item x="2"/>
        <item x="9"/>
        <item x="22"/>
        <item x="3"/>
        <item x="40"/>
        <item x="42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9"/>
  </rowFields>
  <rowItems count="4">
    <i>
      <x/>
    </i>
    <i>
      <x v="10"/>
    </i>
    <i>
      <x v="11"/>
    </i>
    <i t="grand">
      <x/>
    </i>
  </rowItems>
  <colItems count="1">
    <i/>
  </colItems>
  <dataFields count="1">
    <dataField name="Sum of Price" fld="8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3" type="button" dataOnly="0" labelOnly="1" outline="0" axis="axisRow" fieldPosition="0"/>
    </format>
    <format dxfId="3">
      <pivotArea dataOnly="0" labelOnly="1" fieldPosition="0">
        <references count="1">
          <reference field="13" count="3">
            <x v="0"/>
            <x v="10"/>
            <x v="11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08AD2-FC35-44F6-A8E9-0F05C712BCA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6"/>
        <item x="3"/>
        <item x="2"/>
        <item x="5"/>
        <item x="7"/>
        <item x="4"/>
        <item x="8"/>
        <item t="default"/>
      </items>
    </pivotField>
    <pivotField showAll="0"/>
    <pivotField showAll="0">
      <items count="44">
        <item x="21"/>
        <item x="6"/>
        <item x="41"/>
        <item x="36"/>
        <item x="31"/>
        <item x="7"/>
        <item x="20"/>
        <item x="24"/>
        <item x="18"/>
        <item x="34"/>
        <item x="25"/>
        <item x="39"/>
        <item x="0"/>
        <item x="23"/>
        <item x="33"/>
        <item x="8"/>
        <item x="32"/>
        <item x="11"/>
        <item x="1"/>
        <item x="4"/>
        <item x="27"/>
        <item x="26"/>
        <item x="14"/>
        <item x="15"/>
        <item x="30"/>
        <item x="5"/>
        <item x="10"/>
        <item x="38"/>
        <item x="29"/>
        <item x="12"/>
        <item x="28"/>
        <item x="37"/>
        <item x="19"/>
        <item x="17"/>
        <item x="35"/>
        <item x="13"/>
        <item x="16"/>
        <item x="2"/>
        <item x="9"/>
        <item x="22"/>
        <item x="3"/>
        <item x="40"/>
        <item x="42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quantity" fld="10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7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AE17A-6DF3-4D62-A0FD-6BEFA8A728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6"/>
        <item x="3"/>
        <item x="2"/>
        <item x="5"/>
        <item x="7"/>
        <item x="4"/>
        <item x="8"/>
        <item t="default"/>
      </items>
    </pivotField>
    <pivotField showAll="0"/>
    <pivotField showAll="0">
      <items count="44">
        <item x="21"/>
        <item x="6"/>
        <item x="41"/>
        <item x="36"/>
        <item x="31"/>
        <item x="7"/>
        <item x="20"/>
        <item x="24"/>
        <item x="18"/>
        <item x="34"/>
        <item x="25"/>
        <item x="39"/>
        <item x="0"/>
        <item x="23"/>
        <item x="33"/>
        <item x="8"/>
        <item x="32"/>
        <item x="11"/>
        <item x="1"/>
        <item x="4"/>
        <item x="27"/>
        <item x="26"/>
        <item x="14"/>
        <item x="15"/>
        <item x="30"/>
        <item x="5"/>
        <item x="10"/>
        <item x="38"/>
        <item x="29"/>
        <item x="12"/>
        <item x="28"/>
        <item x="37"/>
        <item x="19"/>
        <item x="17"/>
        <item x="35"/>
        <item x="13"/>
        <item x="16"/>
        <item x="2"/>
        <item x="9"/>
        <item x="22"/>
        <item x="3"/>
        <item x="40"/>
        <item x="42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amount" fld="11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>
      <selection activeCell="C1" sqref="C1"/>
    </sheetView>
  </sheetViews>
  <sheetFormatPr defaultRowHeight="14.4" x14ac:dyDescent="0.3"/>
  <cols>
    <col min="1" max="1" width="12.21875" customWidth="1"/>
    <col min="2" max="2" width="17.33203125" customWidth="1"/>
    <col min="3" max="3" width="13.77734375" customWidth="1"/>
    <col min="4" max="4" width="11.77734375" customWidth="1"/>
    <col min="5" max="5" width="11.21875" customWidth="1"/>
    <col min="6" max="6" width="15.33203125" customWidth="1"/>
    <col min="7" max="7" width="24.77734375" bestFit="1" customWidth="1"/>
    <col min="8" max="8" width="15.33203125" customWidth="1"/>
  </cols>
  <sheetData>
    <row r="1" spans="1:8" x14ac:dyDescent="0.3">
      <c r="A1" s="1" t="s">
        <v>0</v>
      </c>
      <c r="B1" s="8" t="s">
        <v>914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1001</v>
      </c>
      <c r="B2" t="s">
        <v>406</v>
      </c>
      <c r="C2" t="s">
        <v>7</v>
      </c>
      <c r="D2">
        <v>35</v>
      </c>
      <c r="E2" t="s">
        <v>8</v>
      </c>
      <c r="F2" t="s">
        <v>9</v>
      </c>
      <c r="G2" s="2" t="s">
        <v>702</v>
      </c>
      <c r="H2" t="s">
        <v>10</v>
      </c>
    </row>
    <row r="3" spans="1:8" x14ac:dyDescent="0.3">
      <c r="A3">
        <v>1002</v>
      </c>
      <c r="B3" t="s">
        <v>407</v>
      </c>
      <c r="C3" t="s">
        <v>7</v>
      </c>
      <c r="D3">
        <v>21</v>
      </c>
      <c r="E3" t="s">
        <v>8</v>
      </c>
      <c r="F3" t="s">
        <v>11</v>
      </c>
      <c r="G3" t="s">
        <v>762</v>
      </c>
      <c r="H3" t="s">
        <v>12</v>
      </c>
    </row>
    <row r="4" spans="1:8" x14ac:dyDescent="0.3">
      <c r="A4">
        <v>1003</v>
      </c>
      <c r="B4" t="s">
        <v>408</v>
      </c>
      <c r="C4" t="s">
        <v>7</v>
      </c>
      <c r="D4">
        <v>22</v>
      </c>
      <c r="E4" t="s">
        <v>13</v>
      </c>
      <c r="F4" t="s">
        <v>14</v>
      </c>
      <c r="G4" t="s">
        <v>763</v>
      </c>
      <c r="H4" t="s">
        <v>15</v>
      </c>
    </row>
    <row r="5" spans="1:8" x14ac:dyDescent="0.3">
      <c r="A5">
        <v>1004</v>
      </c>
      <c r="B5" t="s">
        <v>409</v>
      </c>
      <c r="C5" t="s">
        <v>16</v>
      </c>
      <c r="D5">
        <v>65</v>
      </c>
      <c r="E5" t="s">
        <v>8</v>
      </c>
      <c r="F5" t="s">
        <v>11</v>
      </c>
      <c r="G5" t="s">
        <v>764</v>
      </c>
      <c r="H5" t="s">
        <v>17</v>
      </c>
    </row>
    <row r="6" spans="1:8" x14ac:dyDescent="0.3">
      <c r="A6">
        <v>1005</v>
      </c>
      <c r="B6" t="s">
        <v>410</v>
      </c>
      <c r="C6" t="s">
        <v>16</v>
      </c>
      <c r="D6">
        <v>49</v>
      </c>
      <c r="E6" t="s">
        <v>8</v>
      </c>
      <c r="F6" t="s">
        <v>18</v>
      </c>
      <c r="G6" t="s">
        <v>765</v>
      </c>
      <c r="H6" t="s">
        <v>19</v>
      </c>
    </row>
    <row r="7" spans="1:8" x14ac:dyDescent="0.3">
      <c r="A7">
        <v>1006</v>
      </c>
      <c r="B7" t="s">
        <v>411</v>
      </c>
      <c r="C7" t="s">
        <v>7</v>
      </c>
      <c r="D7">
        <v>49</v>
      </c>
      <c r="E7" t="s">
        <v>20</v>
      </c>
      <c r="F7" t="s">
        <v>18</v>
      </c>
      <c r="G7" t="s">
        <v>703</v>
      </c>
      <c r="H7" t="s">
        <v>21</v>
      </c>
    </row>
    <row r="8" spans="1:8" x14ac:dyDescent="0.3">
      <c r="A8">
        <v>1007</v>
      </c>
      <c r="B8" t="s">
        <v>412</v>
      </c>
      <c r="C8" t="s">
        <v>16</v>
      </c>
      <c r="D8">
        <v>40</v>
      </c>
      <c r="E8" t="s">
        <v>22</v>
      </c>
      <c r="F8" t="s">
        <v>11</v>
      </c>
      <c r="G8" t="s">
        <v>766</v>
      </c>
      <c r="H8" t="s">
        <v>23</v>
      </c>
    </row>
    <row r="9" spans="1:8" x14ac:dyDescent="0.3">
      <c r="A9">
        <v>1008</v>
      </c>
      <c r="B9" t="s">
        <v>413</v>
      </c>
      <c r="C9" t="s">
        <v>16</v>
      </c>
      <c r="D9">
        <v>61</v>
      </c>
      <c r="E9" t="s">
        <v>22</v>
      </c>
      <c r="F9" t="s">
        <v>24</v>
      </c>
      <c r="G9" t="s">
        <v>704</v>
      </c>
      <c r="H9" t="s">
        <v>25</v>
      </c>
    </row>
    <row r="10" spans="1:8" x14ac:dyDescent="0.3">
      <c r="A10">
        <v>1009</v>
      </c>
      <c r="B10" t="s">
        <v>414</v>
      </c>
      <c r="C10" t="s">
        <v>7</v>
      </c>
      <c r="D10">
        <v>57</v>
      </c>
      <c r="E10" t="s">
        <v>22</v>
      </c>
      <c r="F10" t="s">
        <v>24</v>
      </c>
      <c r="G10" t="s">
        <v>767</v>
      </c>
      <c r="H10" t="s">
        <v>26</v>
      </c>
    </row>
    <row r="11" spans="1:8" x14ac:dyDescent="0.3">
      <c r="A11">
        <v>1010</v>
      </c>
      <c r="B11" t="s">
        <v>415</v>
      </c>
      <c r="C11" t="s">
        <v>7</v>
      </c>
      <c r="D11">
        <v>27</v>
      </c>
      <c r="E11" t="s">
        <v>22</v>
      </c>
      <c r="F11" t="s">
        <v>18</v>
      </c>
      <c r="G11" t="s">
        <v>768</v>
      </c>
      <c r="H11" t="s">
        <v>27</v>
      </c>
    </row>
    <row r="12" spans="1:8" x14ac:dyDescent="0.3">
      <c r="A12">
        <v>1011</v>
      </c>
      <c r="B12" t="s">
        <v>416</v>
      </c>
      <c r="C12" t="s">
        <v>16</v>
      </c>
      <c r="D12">
        <v>19</v>
      </c>
      <c r="E12" t="s">
        <v>28</v>
      </c>
      <c r="F12" t="s">
        <v>9</v>
      </c>
      <c r="G12" t="s">
        <v>705</v>
      </c>
      <c r="H12" t="s">
        <v>29</v>
      </c>
    </row>
    <row r="13" spans="1:8" x14ac:dyDescent="0.3">
      <c r="A13">
        <v>1012</v>
      </c>
      <c r="B13" t="s">
        <v>417</v>
      </c>
      <c r="C13" t="s">
        <v>7</v>
      </c>
      <c r="D13">
        <v>52</v>
      </c>
      <c r="E13" t="s">
        <v>20</v>
      </c>
      <c r="F13" t="s">
        <v>24</v>
      </c>
      <c r="G13" t="s">
        <v>769</v>
      </c>
      <c r="H13" t="s">
        <v>30</v>
      </c>
    </row>
    <row r="14" spans="1:8" x14ac:dyDescent="0.3">
      <c r="A14">
        <v>1013</v>
      </c>
      <c r="B14" t="s">
        <v>418</v>
      </c>
      <c r="C14" t="s">
        <v>16</v>
      </c>
      <c r="D14">
        <v>44</v>
      </c>
      <c r="E14" t="s">
        <v>8</v>
      </c>
      <c r="F14" t="s">
        <v>24</v>
      </c>
      <c r="G14" t="s">
        <v>770</v>
      </c>
      <c r="H14" t="s">
        <v>31</v>
      </c>
    </row>
    <row r="15" spans="1:8" x14ac:dyDescent="0.3">
      <c r="A15">
        <v>1014</v>
      </c>
      <c r="B15" t="s">
        <v>419</v>
      </c>
      <c r="C15" t="s">
        <v>7</v>
      </c>
      <c r="D15">
        <v>47</v>
      </c>
      <c r="E15" t="s">
        <v>8</v>
      </c>
      <c r="F15" t="s">
        <v>14</v>
      </c>
      <c r="G15" t="s">
        <v>706</v>
      </c>
      <c r="H15" t="s">
        <v>32</v>
      </c>
    </row>
    <row r="16" spans="1:8" x14ac:dyDescent="0.3">
      <c r="A16">
        <v>1015</v>
      </c>
      <c r="B16" t="s">
        <v>420</v>
      </c>
      <c r="C16" t="s">
        <v>16</v>
      </c>
      <c r="D16">
        <v>30</v>
      </c>
      <c r="E16" t="s">
        <v>13</v>
      </c>
      <c r="F16" t="s">
        <v>9</v>
      </c>
      <c r="G16" t="s">
        <v>707</v>
      </c>
      <c r="H16" t="s">
        <v>33</v>
      </c>
    </row>
    <row r="17" spans="1:8" x14ac:dyDescent="0.3">
      <c r="A17">
        <v>1016</v>
      </c>
      <c r="B17" t="s">
        <v>421</v>
      </c>
      <c r="C17" t="s">
        <v>16</v>
      </c>
      <c r="D17">
        <v>41</v>
      </c>
      <c r="E17" t="s">
        <v>28</v>
      </c>
      <c r="F17" t="s">
        <v>9</v>
      </c>
      <c r="G17" t="s">
        <v>771</v>
      </c>
      <c r="H17" t="s">
        <v>34</v>
      </c>
    </row>
    <row r="18" spans="1:8" x14ac:dyDescent="0.3">
      <c r="A18">
        <v>1017</v>
      </c>
      <c r="B18" t="s">
        <v>422</v>
      </c>
      <c r="C18" t="s">
        <v>7</v>
      </c>
      <c r="D18">
        <v>39</v>
      </c>
      <c r="E18" t="s">
        <v>35</v>
      </c>
      <c r="F18" t="s">
        <v>11</v>
      </c>
      <c r="G18" t="s">
        <v>772</v>
      </c>
      <c r="H18" t="s">
        <v>36</v>
      </c>
    </row>
    <row r="19" spans="1:8" x14ac:dyDescent="0.3">
      <c r="A19">
        <v>1018</v>
      </c>
      <c r="B19" t="s">
        <v>423</v>
      </c>
      <c r="C19" t="s">
        <v>7</v>
      </c>
      <c r="D19">
        <v>34</v>
      </c>
      <c r="E19" t="s">
        <v>8</v>
      </c>
      <c r="F19" t="s">
        <v>11</v>
      </c>
      <c r="G19" t="s">
        <v>773</v>
      </c>
      <c r="H19" t="s">
        <v>37</v>
      </c>
    </row>
    <row r="20" spans="1:8" x14ac:dyDescent="0.3">
      <c r="A20">
        <v>1019</v>
      </c>
      <c r="B20" t="s">
        <v>424</v>
      </c>
      <c r="C20" t="s">
        <v>7</v>
      </c>
      <c r="D20">
        <v>23</v>
      </c>
      <c r="E20" t="s">
        <v>22</v>
      </c>
      <c r="F20" t="s">
        <v>11</v>
      </c>
      <c r="G20" t="s">
        <v>774</v>
      </c>
      <c r="H20" t="s">
        <v>38</v>
      </c>
    </row>
    <row r="21" spans="1:8" x14ac:dyDescent="0.3">
      <c r="A21">
        <v>1020</v>
      </c>
      <c r="B21" t="s">
        <v>425</v>
      </c>
      <c r="C21" t="s">
        <v>7</v>
      </c>
      <c r="D21">
        <v>60</v>
      </c>
      <c r="E21" t="s">
        <v>35</v>
      </c>
      <c r="F21" t="s">
        <v>24</v>
      </c>
      <c r="G21" t="s">
        <v>708</v>
      </c>
      <c r="H21" t="s">
        <v>39</v>
      </c>
    </row>
    <row r="22" spans="1:8" x14ac:dyDescent="0.3">
      <c r="A22">
        <v>1021</v>
      </c>
      <c r="B22" t="s">
        <v>426</v>
      </c>
      <c r="C22" t="s">
        <v>16</v>
      </c>
      <c r="D22">
        <v>33</v>
      </c>
      <c r="E22" t="s">
        <v>28</v>
      </c>
      <c r="F22" t="s">
        <v>20</v>
      </c>
      <c r="G22" t="s">
        <v>709</v>
      </c>
      <c r="H22" t="s">
        <v>40</v>
      </c>
    </row>
    <row r="23" spans="1:8" x14ac:dyDescent="0.3">
      <c r="A23">
        <v>1022</v>
      </c>
      <c r="B23" t="s">
        <v>427</v>
      </c>
      <c r="C23" t="s">
        <v>16</v>
      </c>
      <c r="D23">
        <v>61</v>
      </c>
      <c r="E23" t="s">
        <v>35</v>
      </c>
      <c r="F23" t="s">
        <v>11</v>
      </c>
      <c r="G23" t="s">
        <v>775</v>
      </c>
      <c r="H23" t="s">
        <v>41</v>
      </c>
    </row>
    <row r="24" spans="1:8" x14ac:dyDescent="0.3">
      <c r="A24">
        <v>1023</v>
      </c>
      <c r="B24" t="s">
        <v>428</v>
      </c>
      <c r="C24" t="s">
        <v>7</v>
      </c>
      <c r="D24">
        <v>45</v>
      </c>
      <c r="E24" t="s">
        <v>22</v>
      </c>
      <c r="F24" t="s">
        <v>14</v>
      </c>
      <c r="G24" t="s">
        <v>766</v>
      </c>
      <c r="H24" t="s">
        <v>42</v>
      </c>
    </row>
    <row r="25" spans="1:8" x14ac:dyDescent="0.3">
      <c r="A25">
        <v>1024</v>
      </c>
      <c r="B25" t="s">
        <v>429</v>
      </c>
      <c r="C25" t="s">
        <v>16</v>
      </c>
      <c r="D25">
        <v>64</v>
      </c>
      <c r="E25" t="s">
        <v>22</v>
      </c>
      <c r="F25" t="s">
        <v>20</v>
      </c>
      <c r="G25" t="s">
        <v>710</v>
      </c>
      <c r="H25" t="s">
        <v>43</v>
      </c>
    </row>
    <row r="26" spans="1:8" x14ac:dyDescent="0.3">
      <c r="A26">
        <v>1025</v>
      </c>
      <c r="B26" t="s">
        <v>430</v>
      </c>
      <c r="C26" t="s">
        <v>7</v>
      </c>
      <c r="D26">
        <v>36</v>
      </c>
      <c r="E26" t="s">
        <v>35</v>
      </c>
      <c r="F26" t="s">
        <v>14</v>
      </c>
      <c r="G26" t="s">
        <v>776</v>
      </c>
      <c r="H26" t="s">
        <v>44</v>
      </c>
    </row>
    <row r="27" spans="1:8" x14ac:dyDescent="0.3">
      <c r="A27">
        <v>1026</v>
      </c>
      <c r="B27" t="s">
        <v>431</v>
      </c>
      <c r="C27" t="s">
        <v>7</v>
      </c>
      <c r="D27">
        <v>46</v>
      </c>
      <c r="E27" t="s">
        <v>8</v>
      </c>
      <c r="F27" t="s">
        <v>18</v>
      </c>
      <c r="G27" t="s">
        <v>777</v>
      </c>
      <c r="H27" t="s">
        <v>45</v>
      </c>
    </row>
    <row r="28" spans="1:8" x14ac:dyDescent="0.3">
      <c r="A28">
        <v>1027</v>
      </c>
      <c r="B28" t="s">
        <v>432</v>
      </c>
      <c r="C28" t="s">
        <v>16</v>
      </c>
      <c r="D28">
        <v>64</v>
      </c>
      <c r="E28" t="s">
        <v>8</v>
      </c>
      <c r="F28" t="s">
        <v>9</v>
      </c>
      <c r="G28" t="s">
        <v>778</v>
      </c>
      <c r="H28" t="s">
        <v>46</v>
      </c>
    </row>
    <row r="29" spans="1:8" x14ac:dyDescent="0.3">
      <c r="A29">
        <v>1028</v>
      </c>
      <c r="B29" t="s">
        <v>433</v>
      </c>
      <c r="C29" t="s">
        <v>16</v>
      </c>
      <c r="D29">
        <v>61</v>
      </c>
      <c r="E29" t="s">
        <v>8</v>
      </c>
      <c r="F29" t="s">
        <v>18</v>
      </c>
      <c r="G29" t="s">
        <v>772</v>
      </c>
      <c r="H29" t="s">
        <v>47</v>
      </c>
    </row>
    <row r="30" spans="1:8" x14ac:dyDescent="0.3">
      <c r="A30">
        <v>1029</v>
      </c>
      <c r="B30" t="s">
        <v>434</v>
      </c>
      <c r="C30" t="s">
        <v>16</v>
      </c>
      <c r="D30">
        <v>49</v>
      </c>
      <c r="E30" t="s">
        <v>28</v>
      </c>
      <c r="F30" t="s">
        <v>20</v>
      </c>
      <c r="G30" t="s">
        <v>711</v>
      </c>
      <c r="H30" t="s">
        <v>48</v>
      </c>
    </row>
    <row r="31" spans="1:8" x14ac:dyDescent="0.3">
      <c r="A31">
        <v>1030</v>
      </c>
      <c r="B31" t="s">
        <v>435</v>
      </c>
      <c r="C31" t="s">
        <v>7</v>
      </c>
      <c r="D31">
        <v>49</v>
      </c>
      <c r="E31" t="s">
        <v>49</v>
      </c>
      <c r="F31" t="s">
        <v>24</v>
      </c>
      <c r="G31" t="s">
        <v>779</v>
      </c>
      <c r="H31" t="s">
        <v>50</v>
      </c>
    </row>
    <row r="32" spans="1:8" x14ac:dyDescent="0.3">
      <c r="A32">
        <v>1031</v>
      </c>
      <c r="B32" t="s">
        <v>436</v>
      </c>
      <c r="C32" t="s">
        <v>16</v>
      </c>
      <c r="D32">
        <v>46</v>
      </c>
      <c r="E32" t="s">
        <v>28</v>
      </c>
      <c r="F32" t="s">
        <v>18</v>
      </c>
      <c r="G32" t="s">
        <v>712</v>
      </c>
      <c r="H32" t="s">
        <v>51</v>
      </c>
    </row>
    <row r="33" spans="1:8" x14ac:dyDescent="0.3">
      <c r="A33">
        <v>1032</v>
      </c>
      <c r="B33" t="s">
        <v>437</v>
      </c>
      <c r="C33" t="s">
        <v>16</v>
      </c>
      <c r="D33">
        <v>63</v>
      </c>
      <c r="E33" t="s">
        <v>20</v>
      </c>
      <c r="F33" t="s">
        <v>24</v>
      </c>
      <c r="G33" t="s">
        <v>780</v>
      </c>
      <c r="H33" t="s">
        <v>52</v>
      </c>
    </row>
    <row r="34" spans="1:8" x14ac:dyDescent="0.3">
      <c r="A34">
        <v>1033</v>
      </c>
      <c r="B34" t="s">
        <v>438</v>
      </c>
      <c r="C34" t="s">
        <v>16</v>
      </c>
      <c r="D34">
        <v>18</v>
      </c>
      <c r="E34" t="s">
        <v>49</v>
      </c>
      <c r="F34" t="s">
        <v>20</v>
      </c>
      <c r="G34" t="s">
        <v>773</v>
      </c>
      <c r="H34" t="s">
        <v>53</v>
      </c>
    </row>
    <row r="35" spans="1:8" x14ac:dyDescent="0.3">
      <c r="A35">
        <v>1034</v>
      </c>
      <c r="B35" t="s">
        <v>439</v>
      </c>
      <c r="C35" t="s">
        <v>16</v>
      </c>
      <c r="D35">
        <v>25</v>
      </c>
      <c r="E35" t="s">
        <v>35</v>
      </c>
      <c r="F35" t="s">
        <v>24</v>
      </c>
      <c r="G35" t="s">
        <v>781</v>
      </c>
      <c r="H35" t="s">
        <v>54</v>
      </c>
    </row>
    <row r="36" spans="1:8" x14ac:dyDescent="0.3">
      <c r="A36">
        <v>1035</v>
      </c>
      <c r="B36" t="s">
        <v>440</v>
      </c>
      <c r="C36" t="s">
        <v>16</v>
      </c>
      <c r="D36">
        <v>39</v>
      </c>
      <c r="E36" t="s">
        <v>49</v>
      </c>
      <c r="F36" t="s">
        <v>18</v>
      </c>
      <c r="G36" t="s">
        <v>782</v>
      </c>
      <c r="H36" t="s">
        <v>55</v>
      </c>
    </row>
    <row r="37" spans="1:8" x14ac:dyDescent="0.3">
      <c r="A37">
        <v>1036</v>
      </c>
      <c r="B37" t="s">
        <v>441</v>
      </c>
      <c r="C37" t="s">
        <v>7</v>
      </c>
      <c r="D37">
        <v>27</v>
      </c>
      <c r="E37" t="s">
        <v>35</v>
      </c>
      <c r="F37" t="s">
        <v>11</v>
      </c>
      <c r="G37" t="s">
        <v>713</v>
      </c>
      <c r="H37" t="s">
        <v>56</v>
      </c>
    </row>
    <row r="38" spans="1:8" x14ac:dyDescent="0.3">
      <c r="A38">
        <v>1037</v>
      </c>
      <c r="B38" t="s">
        <v>442</v>
      </c>
      <c r="C38" t="s">
        <v>16</v>
      </c>
      <c r="D38">
        <v>36</v>
      </c>
      <c r="E38" t="s">
        <v>20</v>
      </c>
      <c r="F38" t="s">
        <v>9</v>
      </c>
      <c r="G38" t="s">
        <v>783</v>
      </c>
      <c r="H38" t="s">
        <v>57</v>
      </c>
    </row>
    <row r="39" spans="1:8" x14ac:dyDescent="0.3">
      <c r="A39">
        <v>1038</v>
      </c>
      <c r="B39" t="s">
        <v>443</v>
      </c>
      <c r="C39" t="s">
        <v>16</v>
      </c>
      <c r="D39">
        <v>64</v>
      </c>
      <c r="E39" t="s">
        <v>22</v>
      </c>
      <c r="F39" t="s">
        <v>18</v>
      </c>
      <c r="G39" t="s">
        <v>784</v>
      </c>
      <c r="H39" t="s">
        <v>58</v>
      </c>
    </row>
    <row r="40" spans="1:8" x14ac:dyDescent="0.3">
      <c r="A40">
        <v>1039</v>
      </c>
      <c r="B40" t="s">
        <v>444</v>
      </c>
      <c r="C40" t="s">
        <v>7</v>
      </c>
      <c r="D40">
        <v>22</v>
      </c>
      <c r="E40" t="s">
        <v>49</v>
      </c>
      <c r="F40" t="s">
        <v>18</v>
      </c>
      <c r="G40" t="s">
        <v>785</v>
      </c>
      <c r="H40" t="s">
        <v>59</v>
      </c>
    </row>
    <row r="41" spans="1:8" x14ac:dyDescent="0.3">
      <c r="A41">
        <v>1040</v>
      </c>
      <c r="B41" t="s">
        <v>445</v>
      </c>
      <c r="C41" t="s">
        <v>16</v>
      </c>
      <c r="D41">
        <v>43</v>
      </c>
      <c r="E41" t="s">
        <v>13</v>
      </c>
      <c r="F41" t="s">
        <v>9</v>
      </c>
      <c r="G41" t="s">
        <v>786</v>
      </c>
      <c r="H41" t="s">
        <v>60</v>
      </c>
    </row>
    <row r="42" spans="1:8" x14ac:dyDescent="0.3">
      <c r="A42">
        <v>1041</v>
      </c>
      <c r="B42" t="s">
        <v>446</v>
      </c>
      <c r="C42" t="s">
        <v>7</v>
      </c>
      <c r="D42">
        <v>31</v>
      </c>
      <c r="E42" t="s">
        <v>20</v>
      </c>
      <c r="F42" t="s">
        <v>11</v>
      </c>
      <c r="G42" t="s">
        <v>714</v>
      </c>
      <c r="H42" t="s">
        <v>61</v>
      </c>
    </row>
    <row r="43" spans="1:8" x14ac:dyDescent="0.3">
      <c r="A43">
        <v>1042</v>
      </c>
      <c r="B43" t="s">
        <v>447</v>
      </c>
      <c r="C43" t="s">
        <v>7</v>
      </c>
      <c r="D43">
        <v>24</v>
      </c>
      <c r="E43" t="s">
        <v>28</v>
      </c>
      <c r="F43" t="s">
        <v>20</v>
      </c>
      <c r="G43" t="s">
        <v>780</v>
      </c>
      <c r="H43" t="s">
        <v>62</v>
      </c>
    </row>
    <row r="44" spans="1:8" x14ac:dyDescent="0.3">
      <c r="A44">
        <v>1043</v>
      </c>
      <c r="B44" t="s">
        <v>448</v>
      </c>
      <c r="C44" t="s">
        <v>7</v>
      </c>
      <c r="D44">
        <v>49</v>
      </c>
      <c r="E44" t="s">
        <v>49</v>
      </c>
      <c r="F44" t="s">
        <v>20</v>
      </c>
      <c r="G44" t="s">
        <v>774</v>
      </c>
      <c r="H44" t="s">
        <v>63</v>
      </c>
    </row>
    <row r="45" spans="1:8" x14ac:dyDescent="0.3">
      <c r="A45">
        <v>1044</v>
      </c>
      <c r="B45" t="s">
        <v>449</v>
      </c>
      <c r="C45" t="s">
        <v>16</v>
      </c>
      <c r="D45">
        <v>22</v>
      </c>
      <c r="E45" t="s">
        <v>13</v>
      </c>
      <c r="F45" t="s">
        <v>11</v>
      </c>
      <c r="G45" t="s">
        <v>715</v>
      </c>
      <c r="H45" t="s">
        <v>64</v>
      </c>
    </row>
    <row r="46" spans="1:8" x14ac:dyDescent="0.3">
      <c r="A46">
        <v>1045</v>
      </c>
      <c r="B46" t="s">
        <v>450</v>
      </c>
      <c r="C46" t="s">
        <v>7</v>
      </c>
      <c r="D46">
        <v>62</v>
      </c>
      <c r="E46" t="s">
        <v>28</v>
      </c>
      <c r="F46" t="s">
        <v>24</v>
      </c>
      <c r="G46" t="s">
        <v>716</v>
      </c>
      <c r="H46" t="s">
        <v>65</v>
      </c>
    </row>
    <row r="47" spans="1:8" x14ac:dyDescent="0.3">
      <c r="A47">
        <v>1046</v>
      </c>
      <c r="B47" t="s">
        <v>451</v>
      </c>
      <c r="C47" t="s">
        <v>16</v>
      </c>
      <c r="D47">
        <v>34</v>
      </c>
      <c r="E47" t="s">
        <v>13</v>
      </c>
      <c r="F47" t="s">
        <v>18</v>
      </c>
      <c r="G47" t="s">
        <v>787</v>
      </c>
      <c r="H47" t="s">
        <v>66</v>
      </c>
    </row>
    <row r="48" spans="1:8" x14ac:dyDescent="0.3">
      <c r="A48">
        <v>1047</v>
      </c>
      <c r="B48" t="s">
        <v>452</v>
      </c>
      <c r="C48" t="s">
        <v>7</v>
      </c>
      <c r="D48">
        <v>40</v>
      </c>
      <c r="E48" t="s">
        <v>20</v>
      </c>
      <c r="F48" t="s">
        <v>20</v>
      </c>
      <c r="G48" t="s">
        <v>788</v>
      </c>
      <c r="H48" t="s">
        <v>67</v>
      </c>
    </row>
    <row r="49" spans="1:8" x14ac:dyDescent="0.3">
      <c r="A49">
        <v>1048</v>
      </c>
      <c r="B49" t="s">
        <v>453</v>
      </c>
      <c r="C49" t="s">
        <v>7</v>
      </c>
      <c r="D49">
        <v>40</v>
      </c>
      <c r="E49" t="s">
        <v>22</v>
      </c>
      <c r="F49" t="s">
        <v>20</v>
      </c>
      <c r="G49" t="s">
        <v>789</v>
      </c>
      <c r="H49" t="s">
        <v>68</v>
      </c>
    </row>
    <row r="50" spans="1:8" x14ac:dyDescent="0.3">
      <c r="A50">
        <v>1049</v>
      </c>
      <c r="B50" t="s">
        <v>454</v>
      </c>
      <c r="C50" t="s">
        <v>16</v>
      </c>
      <c r="D50">
        <v>58</v>
      </c>
      <c r="E50" t="s">
        <v>28</v>
      </c>
      <c r="F50" t="s">
        <v>24</v>
      </c>
      <c r="G50" t="s">
        <v>717</v>
      </c>
      <c r="H50" t="s">
        <v>69</v>
      </c>
    </row>
    <row r="51" spans="1:8" x14ac:dyDescent="0.3">
      <c r="A51">
        <v>1050</v>
      </c>
      <c r="B51" t="s">
        <v>455</v>
      </c>
      <c r="C51" t="s">
        <v>7</v>
      </c>
      <c r="D51">
        <v>46</v>
      </c>
      <c r="E51" t="s">
        <v>13</v>
      </c>
      <c r="F51" t="s">
        <v>14</v>
      </c>
      <c r="G51" t="s">
        <v>790</v>
      </c>
      <c r="H51" t="s">
        <v>70</v>
      </c>
    </row>
    <row r="52" spans="1:8" x14ac:dyDescent="0.3">
      <c r="A52">
        <v>1051</v>
      </c>
      <c r="B52" t="s">
        <v>456</v>
      </c>
      <c r="C52" t="s">
        <v>7</v>
      </c>
      <c r="D52">
        <v>36</v>
      </c>
      <c r="E52" t="s">
        <v>49</v>
      </c>
      <c r="F52" t="s">
        <v>9</v>
      </c>
      <c r="G52" t="s">
        <v>791</v>
      </c>
      <c r="H52" t="s">
        <v>71</v>
      </c>
    </row>
    <row r="53" spans="1:8" x14ac:dyDescent="0.3">
      <c r="A53">
        <v>1052</v>
      </c>
      <c r="B53" t="s">
        <v>457</v>
      </c>
      <c r="C53" t="s">
        <v>7</v>
      </c>
      <c r="D53">
        <v>38</v>
      </c>
      <c r="E53" t="s">
        <v>49</v>
      </c>
      <c r="F53" t="s">
        <v>24</v>
      </c>
      <c r="G53" t="s">
        <v>718</v>
      </c>
      <c r="H53" t="s">
        <v>72</v>
      </c>
    </row>
    <row r="54" spans="1:8" x14ac:dyDescent="0.3">
      <c r="A54">
        <v>1053</v>
      </c>
      <c r="B54" t="s">
        <v>458</v>
      </c>
      <c r="C54" t="s">
        <v>16</v>
      </c>
      <c r="D54">
        <v>52</v>
      </c>
      <c r="E54" t="s">
        <v>35</v>
      </c>
      <c r="F54" t="s">
        <v>11</v>
      </c>
      <c r="G54" t="s">
        <v>719</v>
      </c>
      <c r="H54" t="s">
        <v>73</v>
      </c>
    </row>
    <row r="55" spans="1:8" x14ac:dyDescent="0.3">
      <c r="A55">
        <v>1054</v>
      </c>
      <c r="B55" t="s">
        <v>459</v>
      </c>
      <c r="C55" t="s">
        <v>16</v>
      </c>
      <c r="D55">
        <v>20</v>
      </c>
      <c r="E55" t="s">
        <v>49</v>
      </c>
      <c r="F55" t="s">
        <v>24</v>
      </c>
      <c r="G55" t="s">
        <v>712</v>
      </c>
      <c r="H55" t="s">
        <v>74</v>
      </c>
    </row>
    <row r="56" spans="1:8" x14ac:dyDescent="0.3">
      <c r="A56">
        <v>1055</v>
      </c>
      <c r="B56" t="s">
        <v>460</v>
      </c>
      <c r="C56" t="s">
        <v>16</v>
      </c>
      <c r="D56">
        <v>44</v>
      </c>
      <c r="E56" t="s">
        <v>8</v>
      </c>
      <c r="F56" t="s">
        <v>24</v>
      </c>
      <c r="G56" t="s">
        <v>792</v>
      </c>
      <c r="H56" t="s">
        <v>75</v>
      </c>
    </row>
    <row r="57" spans="1:8" x14ac:dyDescent="0.3">
      <c r="A57">
        <v>1056</v>
      </c>
      <c r="B57" t="s">
        <v>461</v>
      </c>
      <c r="C57" t="s">
        <v>7</v>
      </c>
      <c r="D57">
        <v>58</v>
      </c>
      <c r="E57" t="s">
        <v>28</v>
      </c>
      <c r="F57" t="s">
        <v>11</v>
      </c>
      <c r="G57" t="s">
        <v>793</v>
      </c>
      <c r="H57" t="s">
        <v>76</v>
      </c>
    </row>
    <row r="58" spans="1:8" x14ac:dyDescent="0.3">
      <c r="A58">
        <v>1057</v>
      </c>
      <c r="B58" t="s">
        <v>462</v>
      </c>
      <c r="C58" t="s">
        <v>16</v>
      </c>
      <c r="D58">
        <v>51</v>
      </c>
      <c r="E58" t="s">
        <v>49</v>
      </c>
      <c r="F58" t="s">
        <v>9</v>
      </c>
      <c r="G58" t="s">
        <v>794</v>
      </c>
      <c r="H58" t="s">
        <v>77</v>
      </c>
    </row>
    <row r="59" spans="1:8" x14ac:dyDescent="0.3">
      <c r="A59">
        <v>1058</v>
      </c>
      <c r="B59" t="s">
        <v>463</v>
      </c>
      <c r="C59" t="s">
        <v>7</v>
      </c>
      <c r="D59">
        <v>44</v>
      </c>
      <c r="E59" t="s">
        <v>13</v>
      </c>
      <c r="F59" t="s">
        <v>24</v>
      </c>
      <c r="G59" t="s">
        <v>795</v>
      </c>
      <c r="H59" t="s">
        <v>78</v>
      </c>
    </row>
    <row r="60" spans="1:8" x14ac:dyDescent="0.3">
      <c r="A60">
        <v>1059</v>
      </c>
      <c r="B60" t="s">
        <v>464</v>
      </c>
      <c r="C60" t="s">
        <v>16</v>
      </c>
      <c r="D60">
        <v>44</v>
      </c>
      <c r="E60" t="s">
        <v>49</v>
      </c>
      <c r="F60" t="s">
        <v>20</v>
      </c>
      <c r="G60" t="s">
        <v>720</v>
      </c>
      <c r="H60" t="s">
        <v>79</v>
      </c>
    </row>
    <row r="61" spans="1:8" x14ac:dyDescent="0.3">
      <c r="A61">
        <v>1060</v>
      </c>
      <c r="B61" t="s">
        <v>465</v>
      </c>
      <c r="C61" t="s">
        <v>7</v>
      </c>
      <c r="D61">
        <v>27</v>
      </c>
      <c r="E61" t="s">
        <v>28</v>
      </c>
      <c r="F61" t="s">
        <v>24</v>
      </c>
      <c r="G61" t="s">
        <v>796</v>
      </c>
      <c r="H61" t="s">
        <v>80</v>
      </c>
    </row>
    <row r="62" spans="1:8" x14ac:dyDescent="0.3">
      <c r="A62">
        <v>1061</v>
      </c>
      <c r="B62" t="s">
        <v>466</v>
      </c>
      <c r="C62" t="s">
        <v>7</v>
      </c>
      <c r="D62">
        <v>53</v>
      </c>
      <c r="E62" t="s">
        <v>22</v>
      </c>
      <c r="F62" t="s">
        <v>20</v>
      </c>
      <c r="G62" t="s">
        <v>721</v>
      </c>
      <c r="H62" t="s">
        <v>81</v>
      </c>
    </row>
    <row r="63" spans="1:8" x14ac:dyDescent="0.3">
      <c r="A63">
        <v>1062</v>
      </c>
      <c r="B63" t="s">
        <v>467</v>
      </c>
      <c r="C63" t="s">
        <v>16</v>
      </c>
      <c r="D63">
        <v>34</v>
      </c>
      <c r="E63" t="s">
        <v>13</v>
      </c>
      <c r="F63" t="s">
        <v>20</v>
      </c>
      <c r="G63" t="s">
        <v>712</v>
      </c>
      <c r="H63" t="s">
        <v>82</v>
      </c>
    </row>
    <row r="64" spans="1:8" x14ac:dyDescent="0.3">
      <c r="A64">
        <v>1063</v>
      </c>
      <c r="B64" t="s">
        <v>468</v>
      </c>
      <c r="C64" t="s">
        <v>7</v>
      </c>
      <c r="D64">
        <v>60</v>
      </c>
      <c r="E64" t="s">
        <v>8</v>
      </c>
      <c r="F64" t="s">
        <v>14</v>
      </c>
      <c r="G64" t="s">
        <v>702</v>
      </c>
      <c r="H64" t="s">
        <v>83</v>
      </c>
    </row>
    <row r="65" spans="1:8" x14ac:dyDescent="0.3">
      <c r="A65">
        <v>1064</v>
      </c>
      <c r="B65" t="s">
        <v>469</v>
      </c>
      <c r="C65" t="s">
        <v>16</v>
      </c>
      <c r="D65">
        <v>18</v>
      </c>
      <c r="E65" t="s">
        <v>8</v>
      </c>
      <c r="F65" t="s">
        <v>11</v>
      </c>
      <c r="G65" t="s">
        <v>722</v>
      </c>
      <c r="H65" t="s">
        <v>84</v>
      </c>
    </row>
    <row r="66" spans="1:8" x14ac:dyDescent="0.3">
      <c r="A66">
        <v>1065</v>
      </c>
      <c r="B66" t="s">
        <v>470</v>
      </c>
      <c r="C66" t="s">
        <v>16</v>
      </c>
      <c r="D66">
        <v>35</v>
      </c>
      <c r="E66" t="s">
        <v>22</v>
      </c>
      <c r="F66" t="s">
        <v>18</v>
      </c>
      <c r="G66" t="s">
        <v>797</v>
      </c>
      <c r="H66" t="s">
        <v>85</v>
      </c>
    </row>
    <row r="67" spans="1:8" x14ac:dyDescent="0.3">
      <c r="A67">
        <v>1066</v>
      </c>
      <c r="B67" t="s">
        <v>471</v>
      </c>
      <c r="C67" t="s">
        <v>7</v>
      </c>
      <c r="D67">
        <v>38</v>
      </c>
      <c r="E67" t="s">
        <v>20</v>
      </c>
      <c r="F67" t="s">
        <v>11</v>
      </c>
      <c r="G67" t="s">
        <v>798</v>
      </c>
      <c r="H67" t="s">
        <v>86</v>
      </c>
    </row>
    <row r="68" spans="1:8" x14ac:dyDescent="0.3">
      <c r="A68">
        <v>1067</v>
      </c>
      <c r="B68" t="s">
        <v>472</v>
      </c>
      <c r="C68" t="s">
        <v>16</v>
      </c>
      <c r="D68">
        <v>39</v>
      </c>
      <c r="E68" t="s">
        <v>49</v>
      </c>
      <c r="F68" t="s">
        <v>9</v>
      </c>
      <c r="G68" t="s">
        <v>797</v>
      </c>
      <c r="H68" t="s">
        <v>87</v>
      </c>
    </row>
    <row r="69" spans="1:8" x14ac:dyDescent="0.3">
      <c r="A69">
        <v>1068</v>
      </c>
      <c r="B69" t="s">
        <v>473</v>
      </c>
      <c r="C69" t="s">
        <v>16</v>
      </c>
      <c r="D69">
        <v>44</v>
      </c>
      <c r="E69" t="s">
        <v>8</v>
      </c>
      <c r="F69" t="s">
        <v>11</v>
      </c>
      <c r="G69" t="s">
        <v>723</v>
      </c>
      <c r="H69" t="s">
        <v>88</v>
      </c>
    </row>
    <row r="70" spans="1:8" x14ac:dyDescent="0.3">
      <c r="A70">
        <v>1069</v>
      </c>
      <c r="B70" t="s">
        <v>474</v>
      </c>
      <c r="C70" t="s">
        <v>16</v>
      </c>
      <c r="D70">
        <v>63</v>
      </c>
      <c r="E70" t="s">
        <v>13</v>
      </c>
      <c r="F70" t="s">
        <v>9</v>
      </c>
      <c r="G70" t="s">
        <v>799</v>
      </c>
      <c r="H70" t="s">
        <v>89</v>
      </c>
    </row>
    <row r="71" spans="1:8" x14ac:dyDescent="0.3">
      <c r="A71">
        <v>1070</v>
      </c>
      <c r="B71" t="s">
        <v>475</v>
      </c>
      <c r="C71" t="s">
        <v>16</v>
      </c>
      <c r="D71">
        <v>35</v>
      </c>
      <c r="E71" t="s">
        <v>22</v>
      </c>
      <c r="F71" t="s">
        <v>18</v>
      </c>
      <c r="G71" t="s">
        <v>781</v>
      </c>
      <c r="H71" t="s">
        <v>90</v>
      </c>
    </row>
    <row r="72" spans="1:8" x14ac:dyDescent="0.3">
      <c r="A72">
        <v>1071</v>
      </c>
      <c r="B72" t="s">
        <v>476</v>
      </c>
      <c r="C72" t="s">
        <v>7</v>
      </c>
      <c r="D72">
        <v>58</v>
      </c>
      <c r="E72" t="s">
        <v>13</v>
      </c>
      <c r="F72" t="s">
        <v>14</v>
      </c>
      <c r="G72" t="s">
        <v>707</v>
      </c>
      <c r="H72" t="s">
        <v>91</v>
      </c>
    </row>
    <row r="73" spans="1:8" x14ac:dyDescent="0.3">
      <c r="A73">
        <v>1072</v>
      </c>
      <c r="B73" t="s">
        <v>477</v>
      </c>
      <c r="C73" t="s">
        <v>7</v>
      </c>
      <c r="D73">
        <v>29</v>
      </c>
      <c r="E73" t="s">
        <v>20</v>
      </c>
      <c r="F73" t="s">
        <v>18</v>
      </c>
      <c r="G73" t="s">
        <v>702</v>
      </c>
      <c r="H73" t="s">
        <v>92</v>
      </c>
    </row>
    <row r="74" spans="1:8" x14ac:dyDescent="0.3">
      <c r="A74">
        <v>1073</v>
      </c>
      <c r="B74" t="s">
        <v>478</v>
      </c>
      <c r="C74" t="s">
        <v>7</v>
      </c>
      <c r="D74">
        <v>51</v>
      </c>
      <c r="E74" t="s">
        <v>8</v>
      </c>
      <c r="F74" t="s">
        <v>9</v>
      </c>
      <c r="G74" t="s">
        <v>800</v>
      </c>
      <c r="H74" t="s">
        <v>93</v>
      </c>
    </row>
    <row r="75" spans="1:8" x14ac:dyDescent="0.3">
      <c r="A75">
        <v>1074</v>
      </c>
      <c r="B75" t="s">
        <v>479</v>
      </c>
      <c r="C75" t="s">
        <v>16</v>
      </c>
      <c r="D75">
        <v>38</v>
      </c>
      <c r="E75" t="s">
        <v>49</v>
      </c>
      <c r="F75" t="s">
        <v>24</v>
      </c>
      <c r="G75" t="s">
        <v>724</v>
      </c>
      <c r="H75" t="s">
        <v>94</v>
      </c>
    </row>
    <row r="76" spans="1:8" x14ac:dyDescent="0.3">
      <c r="A76">
        <v>1075</v>
      </c>
      <c r="B76" t="s">
        <v>480</v>
      </c>
      <c r="C76" t="s">
        <v>7</v>
      </c>
      <c r="D76">
        <v>44</v>
      </c>
      <c r="E76" t="s">
        <v>49</v>
      </c>
      <c r="F76" t="s">
        <v>24</v>
      </c>
      <c r="G76" t="s">
        <v>801</v>
      </c>
      <c r="H76" t="s">
        <v>95</v>
      </c>
    </row>
    <row r="77" spans="1:8" x14ac:dyDescent="0.3">
      <c r="A77">
        <v>1076</v>
      </c>
      <c r="B77" t="s">
        <v>481</v>
      </c>
      <c r="C77" t="s">
        <v>16</v>
      </c>
      <c r="D77">
        <v>28</v>
      </c>
      <c r="E77" t="s">
        <v>13</v>
      </c>
      <c r="F77" t="s">
        <v>20</v>
      </c>
      <c r="G77" t="s">
        <v>766</v>
      </c>
      <c r="H77" t="s">
        <v>96</v>
      </c>
    </row>
    <row r="78" spans="1:8" x14ac:dyDescent="0.3">
      <c r="A78">
        <v>1077</v>
      </c>
      <c r="B78" t="s">
        <v>482</v>
      </c>
      <c r="C78" t="s">
        <v>7</v>
      </c>
      <c r="D78">
        <v>36</v>
      </c>
      <c r="E78" t="s">
        <v>20</v>
      </c>
      <c r="F78" t="s">
        <v>14</v>
      </c>
      <c r="G78" t="s">
        <v>802</v>
      </c>
      <c r="H78" t="s">
        <v>97</v>
      </c>
    </row>
    <row r="79" spans="1:8" x14ac:dyDescent="0.3">
      <c r="A79">
        <v>1078</v>
      </c>
      <c r="B79" t="s">
        <v>483</v>
      </c>
      <c r="C79" t="s">
        <v>16</v>
      </c>
      <c r="D79">
        <v>19</v>
      </c>
      <c r="E79" t="s">
        <v>20</v>
      </c>
      <c r="F79" t="s">
        <v>14</v>
      </c>
      <c r="G79" t="s">
        <v>803</v>
      </c>
      <c r="H79" t="s">
        <v>98</v>
      </c>
    </row>
    <row r="80" spans="1:8" x14ac:dyDescent="0.3">
      <c r="A80">
        <v>1079</v>
      </c>
      <c r="B80" t="s">
        <v>484</v>
      </c>
      <c r="C80" t="s">
        <v>7</v>
      </c>
      <c r="D80">
        <v>39</v>
      </c>
      <c r="E80" t="s">
        <v>28</v>
      </c>
      <c r="F80" t="s">
        <v>14</v>
      </c>
      <c r="G80" t="s">
        <v>725</v>
      </c>
      <c r="H80" t="s">
        <v>99</v>
      </c>
    </row>
    <row r="81" spans="1:8" x14ac:dyDescent="0.3">
      <c r="A81">
        <v>1080</v>
      </c>
      <c r="B81" t="s">
        <v>485</v>
      </c>
      <c r="C81" t="s">
        <v>16</v>
      </c>
      <c r="D81">
        <v>23</v>
      </c>
      <c r="E81" t="s">
        <v>28</v>
      </c>
      <c r="F81" t="s">
        <v>20</v>
      </c>
      <c r="G81" t="s">
        <v>726</v>
      </c>
      <c r="H81" t="s">
        <v>100</v>
      </c>
    </row>
    <row r="82" spans="1:8" x14ac:dyDescent="0.3">
      <c r="A82">
        <v>1081</v>
      </c>
      <c r="B82" t="s">
        <v>486</v>
      </c>
      <c r="C82" t="s">
        <v>16</v>
      </c>
      <c r="D82">
        <v>59</v>
      </c>
      <c r="E82" t="s">
        <v>8</v>
      </c>
      <c r="F82" t="s">
        <v>18</v>
      </c>
      <c r="G82" t="s">
        <v>804</v>
      </c>
      <c r="H82" t="s">
        <v>101</v>
      </c>
    </row>
    <row r="83" spans="1:8" x14ac:dyDescent="0.3">
      <c r="A83">
        <v>1082</v>
      </c>
      <c r="B83" t="s">
        <v>487</v>
      </c>
      <c r="C83" t="s">
        <v>7</v>
      </c>
      <c r="D83">
        <v>43</v>
      </c>
      <c r="E83" t="s">
        <v>49</v>
      </c>
      <c r="F83" t="s">
        <v>11</v>
      </c>
      <c r="G83" t="s">
        <v>805</v>
      </c>
      <c r="H83" t="s">
        <v>102</v>
      </c>
    </row>
    <row r="84" spans="1:8" x14ac:dyDescent="0.3">
      <c r="A84">
        <v>1083</v>
      </c>
      <c r="B84" t="s">
        <v>488</v>
      </c>
      <c r="C84" t="s">
        <v>16</v>
      </c>
      <c r="D84">
        <v>31</v>
      </c>
      <c r="E84" t="s">
        <v>22</v>
      </c>
      <c r="F84" t="s">
        <v>18</v>
      </c>
      <c r="G84" t="s">
        <v>806</v>
      </c>
      <c r="H84" t="s">
        <v>103</v>
      </c>
    </row>
    <row r="85" spans="1:8" x14ac:dyDescent="0.3">
      <c r="A85">
        <v>1084</v>
      </c>
      <c r="B85" t="s">
        <v>489</v>
      </c>
      <c r="C85" t="s">
        <v>7</v>
      </c>
      <c r="D85">
        <v>48</v>
      </c>
      <c r="E85" t="s">
        <v>13</v>
      </c>
      <c r="F85" t="s">
        <v>20</v>
      </c>
      <c r="G85" t="s">
        <v>805</v>
      </c>
      <c r="H85" t="s">
        <v>104</v>
      </c>
    </row>
    <row r="86" spans="1:8" x14ac:dyDescent="0.3">
      <c r="A86">
        <v>1085</v>
      </c>
      <c r="B86" t="s">
        <v>490</v>
      </c>
      <c r="C86" t="s">
        <v>7</v>
      </c>
      <c r="D86">
        <v>36</v>
      </c>
      <c r="E86" t="s">
        <v>20</v>
      </c>
      <c r="F86" t="s">
        <v>14</v>
      </c>
      <c r="G86" t="s">
        <v>763</v>
      </c>
      <c r="H86" t="s">
        <v>105</v>
      </c>
    </row>
    <row r="87" spans="1:8" x14ac:dyDescent="0.3">
      <c r="A87">
        <v>1086</v>
      </c>
      <c r="B87" t="s">
        <v>491</v>
      </c>
      <c r="C87" t="s">
        <v>16</v>
      </c>
      <c r="D87">
        <v>25</v>
      </c>
      <c r="E87" t="s">
        <v>35</v>
      </c>
      <c r="F87" t="s">
        <v>14</v>
      </c>
      <c r="G87" t="s">
        <v>702</v>
      </c>
      <c r="H87" t="s">
        <v>106</v>
      </c>
    </row>
    <row r="88" spans="1:8" x14ac:dyDescent="0.3">
      <c r="A88">
        <v>1087</v>
      </c>
      <c r="B88" t="s">
        <v>492</v>
      </c>
      <c r="C88" t="s">
        <v>7</v>
      </c>
      <c r="D88">
        <v>26</v>
      </c>
      <c r="E88" t="s">
        <v>28</v>
      </c>
      <c r="F88" t="s">
        <v>11</v>
      </c>
      <c r="G88" t="s">
        <v>807</v>
      </c>
      <c r="H88" t="s">
        <v>107</v>
      </c>
    </row>
    <row r="89" spans="1:8" x14ac:dyDescent="0.3">
      <c r="A89">
        <v>1088</v>
      </c>
      <c r="B89" t="s">
        <v>493</v>
      </c>
      <c r="C89" t="s">
        <v>16</v>
      </c>
      <c r="D89">
        <v>58</v>
      </c>
      <c r="E89" t="s">
        <v>20</v>
      </c>
      <c r="F89" t="s">
        <v>20</v>
      </c>
      <c r="G89" t="s">
        <v>808</v>
      </c>
      <c r="H89" t="s">
        <v>108</v>
      </c>
    </row>
    <row r="90" spans="1:8" x14ac:dyDescent="0.3">
      <c r="A90">
        <v>1089</v>
      </c>
      <c r="B90" t="s">
        <v>494</v>
      </c>
      <c r="C90" t="s">
        <v>7</v>
      </c>
      <c r="D90">
        <v>57</v>
      </c>
      <c r="E90" t="s">
        <v>8</v>
      </c>
      <c r="F90" t="s">
        <v>9</v>
      </c>
      <c r="G90" t="s">
        <v>809</v>
      </c>
      <c r="H90" t="s">
        <v>109</v>
      </c>
    </row>
    <row r="91" spans="1:8" x14ac:dyDescent="0.3">
      <c r="A91">
        <v>1090</v>
      </c>
      <c r="B91" t="s">
        <v>495</v>
      </c>
      <c r="C91" t="s">
        <v>7</v>
      </c>
      <c r="D91">
        <v>55</v>
      </c>
      <c r="E91" t="s">
        <v>8</v>
      </c>
      <c r="F91" t="s">
        <v>9</v>
      </c>
      <c r="G91" t="s">
        <v>726</v>
      </c>
      <c r="H91" t="s">
        <v>110</v>
      </c>
    </row>
    <row r="92" spans="1:8" x14ac:dyDescent="0.3">
      <c r="A92">
        <v>1091</v>
      </c>
      <c r="B92" t="s">
        <v>496</v>
      </c>
      <c r="C92" t="s">
        <v>16</v>
      </c>
      <c r="D92">
        <v>28</v>
      </c>
      <c r="E92" t="s">
        <v>35</v>
      </c>
      <c r="F92" t="s">
        <v>20</v>
      </c>
      <c r="G92" t="s">
        <v>810</v>
      </c>
      <c r="H92" t="s">
        <v>111</v>
      </c>
    </row>
    <row r="93" spans="1:8" x14ac:dyDescent="0.3">
      <c r="A93">
        <v>1092</v>
      </c>
      <c r="B93" t="s">
        <v>497</v>
      </c>
      <c r="C93" t="s">
        <v>7</v>
      </c>
      <c r="D93">
        <v>23</v>
      </c>
      <c r="E93" t="s">
        <v>28</v>
      </c>
      <c r="F93" t="s">
        <v>14</v>
      </c>
      <c r="G93" t="s">
        <v>811</v>
      </c>
      <c r="H93" t="s">
        <v>112</v>
      </c>
    </row>
    <row r="94" spans="1:8" x14ac:dyDescent="0.3">
      <c r="A94">
        <v>1093</v>
      </c>
      <c r="B94" t="s">
        <v>498</v>
      </c>
      <c r="C94" t="s">
        <v>16</v>
      </c>
      <c r="D94">
        <v>35</v>
      </c>
      <c r="E94" t="s">
        <v>28</v>
      </c>
      <c r="F94" t="s">
        <v>9</v>
      </c>
      <c r="G94" t="s">
        <v>812</v>
      </c>
      <c r="H94" t="s">
        <v>113</v>
      </c>
    </row>
    <row r="95" spans="1:8" x14ac:dyDescent="0.3">
      <c r="A95">
        <v>1094</v>
      </c>
      <c r="B95" t="s">
        <v>499</v>
      </c>
      <c r="C95" t="s">
        <v>16</v>
      </c>
      <c r="D95">
        <v>57</v>
      </c>
      <c r="E95" t="s">
        <v>20</v>
      </c>
      <c r="F95" t="s">
        <v>9</v>
      </c>
      <c r="G95" t="s">
        <v>763</v>
      </c>
      <c r="H95" t="s">
        <v>114</v>
      </c>
    </row>
    <row r="96" spans="1:8" x14ac:dyDescent="0.3">
      <c r="A96">
        <v>1095</v>
      </c>
      <c r="B96" t="s">
        <v>500</v>
      </c>
      <c r="C96" t="s">
        <v>16</v>
      </c>
      <c r="D96">
        <v>49</v>
      </c>
      <c r="E96" t="s">
        <v>35</v>
      </c>
      <c r="F96" t="s">
        <v>20</v>
      </c>
      <c r="G96" t="s">
        <v>813</v>
      </c>
      <c r="H96" t="s">
        <v>115</v>
      </c>
    </row>
    <row r="97" spans="1:8" x14ac:dyDescent="0.3">
      <c r="A97">
        <v>1096</v>
      </c>
      <c r="B97" t="s">
        <v>501</v>
      </c>
      <c r="C97" t="s">
        <v>16</v>
      </c>
      <c r="D97">
        <v>60</v>
      </c>
      <c r="E97" t="s">
        <v>8</v>
      </c>
      <c r="F97" t="s">
        <v>24</v>
      </c>
      <c r="G97" t="s">
        <v>814</v>
      </c>
      <c r="H97" t="s">
        <v>116</v>
      </c>
    </row>
    <row r="98" spans="1:8" x14ac:dyDescent="0.3">
      <c r="A98">
        <v>1097</v>
      </c>
      <c r="B98" t="s">
        <v>502</v>
      </c>
      <c r="C98" t="s">
        <v>7</v>
      </c>
      <c r="D98">
        <v>35</v>
      </c>
      <c r="E98" t="s">
        <v>49</v>
      </c>
      <c r="F98" t="s">
        <v>20</v>
      </c>
      <c r="G98" t="s">
        <v>727</v>
      </c>
      <c r="H98" t="s">
        <v>117</v>
      </c>
    </row>
    <row r="99" spans="1:8" x14ac:dyDescent="0.3">
      <c r="A99">
        <v>1098</v>
      </c>
      <c r="B99" t="s">
        <v>503</v>
      </c>
      <c r="C99" t="s">
        <v>16</v>
      </c>
      <c r="D99">
        <v>50</v>
      </c>
      <c r="E99" t="s">
        <v>20</v>
      </c>
      <c r="F99" t="s">
        <v>11</v>
      </c>
      <c r="G99" t="s">
        <v>707</v>
      </c>
      <c r="H99" t="s">
        <v>118</v>
      </c>
    </row>
    <row r="100" spans="1:8" x14ac:dyDescent="0.3">
      <c r="A100">
        <v>1099</v>
      </c>
      <c r="B100" t="s">
        <v>504</v>
      </c>
      <c r="C100" t="s">
        <v>16</v>
      </c>
      <c r="D100">
        <v>62</v>
      </c>
      <c r="E100" t="s">
        <v>28</v>
      </c>
      <c r="F100" t="s">
        <v>14</v>
      </c>
      <c r="G100" t="s">
        <v>815</v>
      </c>
      <c r="H100" t="s">
        <v>119</v>
      </c>
    </row>
    <row r="101" spans="1:8" x14ac:dyDescent="0.3">
      <c r="A101">
        <v>1100</v>
      </c>
      <c r="B101" t="s">
        <v>505</v>
      </c>
      <c r="C101" t="s">
        <v>16</v>
      </c>
      <c r="D101">
        <v>33</v>
      </c>
      <c r="E101" t="s">
        <v>49</v>
      </c>
      <c r="F101" t="s">
        <v>9</v>
      </c>
      <c r="G101" t="s">
        <v>702</v>
      </c>
      <c r="H101" t="s">
        <v>120</v>
      </c>
    </row>
    <row r="102" spans="1:8" x14ac:dyDescent="0.3">
      <c r="A102">
        <v>1101</v>
      </c>
      <c r="B102" t="s">
        <v>506</v>
      </c>
      <c r="C102" t="s">
        <v>16</v>
      </c>
      <c r="D102">
        <v>46</v>
      </c>
      <c r="E102" t="s">
        <v>20</v>
      </c>
      <c r="F102" t="s">
        <v>24</v>
      </c>
      <c r="G102" t="s">
        <v>790</v>
      </c>
      <c r="H102" t="s">
        <v>121</v>
      </c>
    </row>
    <row r="103" spans="1:8" x14ac:dyDescent="0.3">
      <c r="A103">
        <v>1102</v>
      </c>
      <c r="B103" t="s">
        <v>507</v>
      </c>
      <c r="C103" t="s">
        <v>7</v>
      </c>
      <c r="D103">
        <v>44</v>
      </c>
      <c r="E103" t="s">
        <v>28</v>
      </c>
      <c r="F103" t="s">
        <v>14</v>
      </c>
      <c r="G103" t="s">
        <v>728</v>
      </c>
      <c r="H103" t="s">
        <v>122</v>
      </c>
    </row>
    <row r="104" spans="1:8" x14ac:dyDescent="0.3">
      <c r="A104">
        <v>1103</v>
      </c>
      <c r="B104" t="s">
        <v>508</v>
      </c>
      <c r="C104" t="s">
        <v>7</v>
      </c>
      <c r="D104">
        <v>58</v>
      </c>
      <c r="E104" t="s">
        <v>35</v>
      </c>
      <c r="F104" t="s">
        <v>18</v>
      </c>
      <c r="G104" t="s">
        <v>816</v>
      </c>
      <c r="H104" t="s">
        <v>123</v>
      </c>
    </row>
    <row r="105" spans="1:8" x14ac:dyDescent="0.3">
      <c r="A105">
        <v>1104</v>
      </c>
      <c r="B105" t="s">
        <v>509</v>
      </c>
      <c r="C105" t="s">
        <v>7</v>
      </c>
      <c r="D105">
        <v>50</v>
      </c>
      <c r="E105" t="s">
        <v>28</v>
      </c>
      <c r="F105" t="s">
        <v>24</v>
      </c>
      <c r="G105" t="s">
        <v>729</v>
      </c>
      <c r="H105" t="s">
        <v>124</v>
      </c>
    </row>
    <row r="106" spans="1:8" x14ac:dyDescent="0.3">
      <c r="A106">
        <v>1105</v>
      </c>
      <c r="B106" t="s">
        <v>510</v>
      </c>
      <c r="C106" t="s">
        <v>7</v>
      </c>
      <c r="D106">
        <v>33</v>
      </c>
      <c r="E106" t="s">
        <v>8</v>
      </c>
      <c r="F106" t="s">
        <v>14</v>
      </c>
      <c r="G106" t="s">
        <v>730</v>
      </c>
      <c r="H106" t="s">
        <v>125</v>
      </c>
    </row>
    <row r="107" spans="1:8" x14ac:dyDescent="0.3">
      <c r="A107">
        <v>1106</v>
      </c>
      <c r="B107" t="s">
        <v>511</v>
      </c>
      <c r="C107" t="s">
        <v>16</v>
      </c>
      <c r="D107">
        <v>31</v>
      </c>
      <c r="E107" t="s">
        <v>13</v>
      </c>
      <c r="F107" t="s">
        <v>18</v>
      </c>
      <c r="G107" t="s">
        <v>731</v>
      </c>
      <c r="H107" t="s">
        <v>126</v>
      </c>
    </row>
    <row r="108" spans="1:8" x14ac:dyDescent="0.3">
      <c r="A108">
        <v>1107</v>
      </c>
      <c r="B108" t="s">
        <v>512</v>
      </c>
      <c r="C108" t="s">
        <v>16</v>
      </c>
      <c r="D108">
        <v>53</v>
      </c>
      <c r="E108" t="s">
        <v>28</v>
      </c>
      <c r="F108" t="s">
        <v>14</v>
      </c>
      <c r="G108" t="s">
        <v>732</v>
      </c>
      <c r="H108" t="s">
        <v>127</v>
      </c>
    </row>
    <row r="109" spans="1:8" x14ac:dyDescent="0.3">
      <c r="A109">
        <v>1108</v>
      </c>
      <c r="B109" t="s">
        <v>513</v>
      </c>
      <c r="C109" t="s">
        <v>7</v>
      </c>
      <c r="D109">
        <v>39</v>
      </c>
      <c r="E109" t="s">
        <v>28</v>
      </c>
      <c r="F109" t="s">
        <v>20</v>
      </c>
      <c r="G109" t="s">
        <v>817</v>
      </c>
      <c r="H109" t="s">
        <v>128</v>
      </c>
    </row>
    <row r="110" spans="1:8" x14ac:dyDescent="0.3">
      <c r="A110">
        <v>1109</v>
      </c>
      <c r="B110" t="s">
        <v>514</v>
      </c>
      <c r="C110" t="s">
        <v>16</v>
      </c>
      <c r="D110">
        <v>21</v>
      </c>
      <c r="E110" t="s">
        <v>20</v>
      </c>
      <c r="F110" t="s">
        <v>9</v>
      </c>
      <c r="G110" t="s">
        <v>733</v>
      </c>
      <c r="H110" t="s">
        <v>129</v>
      </c>
    </row>
    <row r="111" spans="1:8" x14ac:dyDescent="0.3">
      <c r="A111">
        <v>1110</v>
      </c>
      <c r="B111" t="s">
        <v>515</v>
      </c>
      <c r="C111" t="s">
        <v>16</v>
      </c>
      <c r="D111">
        <v>64</v>
      </c>
      <c r="E111" t="s">
        <v>20</v>
      </c>
      <c r="F111" t="s">
        <v>18</v>
      </c>
      <c r="G111" t="s">
        <v>727</v>
      </c>
      <c r="H111" t="s">
        <v>130</v>
      </c>
    </row>
    <row r="112" spans="1:8" x14ac:dyDescent="0.3">
      <c r="A112">
        <v>1111</v>
      </c>
      <c r="B112" t="s">
        <v>516</v>
      </c>
      <c r="C112" t="s">
        <v>16</v>
      </c>
      <c r="D112">
        <v>42</v>
      </c>
      <c r="E112" t="s">
        <v>20</v>
      </c>
      <c r="F112" t="s">
        <v>20</v>
      </c>
      <c r="G112" t="s">
        <v>818</v>
      </c>
      <c r="H112" t="s">
        <v>131</v>
      </c>
    </row>
    <row r="113" spans="1:8" x14ac:dyDescent="0.3">
      <c r="A113">
        <v>1112</v>
      </c>
      <c r="B113" t="s">
        <v>517</v>
      </c>
      <c r="C113" t="s">
        <v>16</v>
      </c>
      <c r="D113">
        <v>39</v>
      </c>
      <c r="E113" t="s">
        <v>49</v>
      </c>
      <c r="F113" t="s">
        <v>18</v>
      </c>
      <c r="G113" t="s">
        <v>771</v>
      </c>
      <c r="H113" t="s">
        <v>132</v>
      </c>
    </row>
    <row r="114" spans="1:8" x14ac:dyDescent="0.3">
      <c r="A114">
        <v>1113</v>
      </c>
      <c r="B114" t="s">
        <v>518</v>
      </c>
      <c r="C114" t="s">
        <v>16</v>
      </c>
      <c r="D114">
        <v>62</v>
      </c>
      <c r="E114" t="s">
        <v>13</v>
      </c>
      <c r="F114" t="s">
        <v>18</v>
      </c>
      <c r="G114" t="s">
        <v>819</v>
      </c>
      <c r="H114" t="s">
        <v>133</v>
      </c>
    </row>
    <row r="115" spans="1:8" x14ac:dyDescent="0.3">
      <c r="A115">
        <v>1114</v>
      </c>
      <c r="B115" t="s">
        <v>519</v>
      </c>
      <c r="C115" t="s">
        <v>7</v>
      </c>
      <c r="D115">
        <v>54</v>
      </c>
      <c r="E115" t="s">
        <v>20</v>
      </c>
      <c r="F115" t="s">
        <v>18</v>
      </c>
      <c r="G115" t="s">
        <v>820</v>
      </c>
      <c r="H115" t="s">
        <v>134</v>
      </c>
    </row>
    <row r="116" spans="1:8" x14ac:dyDescent="0.3">
      <c r="A116">
        <v>1115</v>
      </c>
      <c r="B116" t="s">
        <v>520</v>
      </c>
      <c r="C116" t="s">
        <v>16</v>
      </c>
      <c r="D116">
        <v>61</v>
      </c>
      <c r="E116" t="s">
        <v>20</v>
      </c>
      <c r="F116" t="s">
        <v>9</v>
      </c>
      <c r="G116" t="s">
        <v>734</v>
      </c>
      <c r="H116" t="s">
        <v>135</v>
      </c>
    </row>
    <row r="117" spans="1:8" x14ac:dyDescent="0.3">
      <c r="A117">
        <v>1116</v>
      </c>
      <c r="B117" t="s">
        <v>521</v>
      </c>
      <c r="C117" t="s">
        <v>7</v>
      </c>
      <c r="D117">
        <v>33</v>
      </c>
      <c r="E117" t="s">
        <v>8</v>
      </c>
      <c r="F117" t="s">
        <v>20</v>
      </c>
      <c r="G117" t="s">
        <v>821</v>
      </c>
      <c r="H117" t="s">
        <v>136</v>
      </c>
    </row>
    <row r="118" spans="1:8" x14ac:dyDescent="0.3">
      <c r="A118">
        <v>1117</v>
      </c>
      <c r="B118" t="s">
        <v>522</v>
      </c>
      <c r="C118" t="s">
        <v>16</v>
      </c>
      <c r="D118">
        <v>37</v>
      </c>
      <c r="E118" t="s">
        <v>28</v>
      </c>
      <c r="F118" t="s">
        <v>20</v>
      </c>
      <c r="G118" t="s">
        <v>735</v>
      </c>
      <c r="H118" t="s">
        <v>137</v>
      </c>
    </row>
    <row r="119" spans="1:8" x14ac:dyDescent="0.3">
      <c r="A119">
        <v>1118</v>
      </c>
      <c r="B119" t="s">
        <v>523</v>
      </c>
      <c r="C119" t="s">
        <v>7</v>
      </c>
      <c r="D119">
        <v>29</v>
      </c>
      <c r="E119" t="s">
        <v>22</v>
      </c>
      <c r="F119" t="s">
        <v>11</v>
      </c>
      <c r="G119" t="s">
        <v>736</v>
      </c>
      <c r="H119" t="s">
        <v>138</v>
      </c>
    </row>
    <row r="120" spans="1:8" x14ac:dyDescent="0.3">
      <c r="A120">
        <v>1119</v>
      </c>
      <c r="B120" t="s">
        <v>524</v>
      </c>
      <c r="C120" t="s">
        <v>16</v>
      </c>
      <c r="D120">
        <v>45</v>
      </c>
      <c r="E120" t="s">
        <v>20</v>
      </c>
      <c r="F120" t="s">
        <v>20</v>
      </c>
      <c r="G120" t="s">
        <v>822</v>
      </c>
      <c r="H120" t="s">
        <v>139</v>
      </c>
    </row>
    <row r="121" spans="1:8" x14ac:dyDescent="0.3">
      <c r="A121">
        <v>1120</v>
      </c>
      <c r="B121" t="s">
        <v>525</v>
      </c>
      <c r="C121" t="s">
        <v>16</v>
      </c>
      <c r="D121">
        <v>57</v>
      </c>
      <c r="E121" t="s">
        <v>8</v>
      </c>
      <c r="F121" t="s">
        <v>24</v>
      </c>
      <c r="G121" t="s">
        <v>823</v>
      </c>
      <c r="H121" t="s">
        <v>140</v>
      </c>
    </row>
    <row r="122" spans="1:8" x14ac:dyDescent="0.3">
      <c r="A122">
        <v>1121</v>
      </c>
      <c r="B122" t="s">
        <v>526</v>
      </c>
      <c r="C122" t="s">
        <v>16</v>
      </c>
      <c r="D122">
        <v>25</v>
      </c>
      <c r="E122" t="s">
        <v>20</v>
      </c>
      <c r="F122" t="s">
        <v>24</v>
      </c>
      <c r="G122" t="s">
        <v>714</v>
      </c>
      <c r="H122" t="s">
        <v>141</v>
      </c>
    </row>
    <row r="123" spans="1:8" x14ac:dyDescent="0.3">
      <c r="A123">
        <v>1122</v>
      </c>
      <c r="B123" t="s">
        <v>527</v>
      </c>
      <c r="C123" t="s">
        <v>16</v>
      </c>
      <c r="D123">
        <v>59</v>
      </c>
      <c r="E123" t="s">
        <v>20</v>
      </c>
      <c r="F123" t="s">
        <v>18</v>
      </c>
      <c r="G123" t="s">
        <v>824</v>
      </c>
      <c r="H123" t="s">
        <v>142</v>
      </c>
    </row>
    <row r="124" spans="1:8" x14ac:dyDescent="0.3">
      <c r="A124">
        <v>1123</v>
      </c>
      <c r="B124" t="s">
        <v>528</v>
      </c>
      <c r="C124" t="s">
        <v>7</v>
      </c>
      <c r="D124">
        <v>53</v>
      </c>
      <c r="E124" t="s">
        <v>13</v>
      </c>
      <c r="F124" t="s">
        <v>24</v>
      </c>
      <c r="G124" t="s">
        <v>825</v>
      </c>
      <c r="H124" t="s">
        <v>143</v>
      </c>
    </row>
    <row r="125" spans="1:8" x14ac:dyDescent="0.3">
      <c r="A125">
        <v>1124</v>
      </c>
      <c r="B125" t="s">
        <v>529</v>
      </c>
      <c r="C125" t="s">
        <v>16</v>
      </c>
      <c r="D125">
        <v>41</v>
      </c>
      <c r="E125" t="s">
        <v>35</v>
      </c>
      <c r="F125" t="s">
        <v>20</v>
      </c>
      <c r="G125" t="s">
        <v>737</v>
      </c>
      <c r="H125" t="s">
        <v>144</v>
      </c>
    </row>
    <row r="126" spans="1:8" x14ac:dyDescent="0.3">
      <c r="A126">
        <v>1125</v>
      </c>
      <c r="B126" t="s">
        <v>530</v>
      </c>
      <c r="C126" t="s">
        <v>16</v>
      </c>
      <c r="D126">
        <v>35</v>
      </c>
      <c r="E126" t="s">
        <v>28</v>
      </c>
      <c r="F126" t="s">
        <v>24</v>
      </c>
      <c r="G126" t="s">
        <v>771</v>
      </c>
      <c r="H126" t="s">
        <v>145</v>
      </c>
    </row>
    <row r="127" spans="1:8" x14ac:dyDescent="0.3">
      <c r="A127">
        <v>1126</v>
      </c>
      <c r="B127" t="s">
        <v>531</v>
      </c>
      <c r="C127" t="s">
        <v>16</v>
      </c>
      <c r="D127">
        <v>63</v>
      </c>
      <c r="E127" t="s">
        <v>13</v>
      </c>
      <c r="F127" t="s">
        <v>18</v>
      </c>
      <c r="G127" t="s">
        <v>702</v>
      </c>
      <c r="H127" t="s">
        <v>146</v>
      </c>
    </row>
    <row r="128" spans="1:8" x14ac:dyDescent="0.3">
      <c r="A128">
        <v>1127</v>
      </c>
      <c r="B128" t="s">
        <v>532</v>
      </c>
      <c r="C128" t="s">
        <v>16</v>
      </c>
      <c r="D128">
        <v>38</v>
      </c>
      <c r="E128" t="s">
        <v>20</v>
      </c>
      <c r="F128" t="s">
        <v>14</v>
      </c>
      <c r="G128" t="s">
        <v>826</v>
      </c>
      <c r="H128" t="s">
        <v>147</v>
      </c>
    </row>
    <row r="129" spans="1:8" x14ac:dyDescent="0.3">
      <c r="A129">
        <v>1128</v>
      </c>
      <c r="B129" t="s">
        <v>533</v>
      </c>
      <c r="C129" t="s">
        <v>7</v>
      </c>
      <c r="D129">
        <v>49</v>
      </c>
      <c r="E129" t="s">
        <v>22</v>
      </c>
      <c r="F129" t="s">
        <v>9</v>
      </c>
      <c r="G129" t="s">
        <v>827</v>
      </c>
      <c r="H129" t="s">
        <v>148</v>
      </c>
    </row>
    <row r="130" spans="1:8" x14ac:dyDescent="0.3">
      <c r="A130">
        <v>1129</v>
      </c>
      <c r="B130" t="s">
        <v>534</v>
      </c>
      <c r="C130" t="s">
        <v>16</v>
      </c>
      <c r="D130">
        <v>60</v>
      </c>
      <c r="E130" t="s">
        <v>28</v>
      </c>
      <c r="F130" t="s">
        <v>11</v>
      </c>
      <c r="G130" t="s">
        <v>738</v>
      </c>
      <c r="H130" t="s">
        <v>149</v>
      </c>
    </row>
    <row r="131" spans="1:8" x14ac:dyDescent="0.3">
      <c r="A131">
        <v>1130</v>
      </c>
      <c r="B131" t="s">
        <v>535</v>
      </c>
      <c r="C131" t="s">
        <v>16</v>
      </c>
      <c r="D131">
        <v>19</v>
      </c>
      <c r="E131" t="s">
        <v>13</v>
      </c>
      <c r="F131" t="s">
        <v>18</v>
      </c>
      <c r="G131" t="s">
        <v>828</v>
      </c>
      <c r="H131" t="s">
        <v>150</v>
      </c>
    </row>
    <row r="132" spans="1:8" x14ac:dyDescent="0.3">
      <c r="A132">
        <v>1131</v>
      </c>
      <c r="B132" t="s">
        <v>536</v>
      </c>
      <c r="C132" t="s">
        <v>16</v>
      </c>
      <c r="D132">
        <v>46</v>
      </c>
      <c r="E132" t="s">
        <v>20</v>
      </c>
      <c r="F132" t="s">
        <v>9</v>
      </c>
      <c r="G132" t="s">
        <v>702</v>
      </c>
      <c r="H132" t="s">
        <v>151</v>
      </c>
    </row>
    <row r="133" spans="1:8" x14ac:dyDescent="0.3">
      <c r="A133">
        <v>1132</v>
      </c>
      <c r="B133" t="s">
        <v>537</v>
      </c>
      <c r="C133" t="s">
        <v>16</v>
      </c>
      <c r="D133">
        <v>32</v>
      </c>
      <c r="E133" t="s">
        <v>49</v>
      </c>
      <c r="F133" t="s">
        <v>18</v>
      </c>
      <c r="G133" t="s">
        <v>829</v>
      </c>
      <c r="H133" t="s">
        <v>152</v>
      </c>
    </row>
    <row r="134" spans="1:8" x14ac:dyDescent="0.3">
      <c r="A134">
        <v>1133</v>
      </c>
      <c r="B134" t="s">
        <v>538</v>
      </c>
      <c r="C134" t="s">
        <v>7</v>
      </c>
      <c r="D134">
        <v>37</v>
      </c>
      <c r="E134" t="s">
        <v>35</v>
      </c>
      <c r="F134" t="s">
        <v>9</v>
      </c>
      <c r="G134" t="s">
        <v>739</v>
      </c>
      <c r="H134" t="s">
        <v>153</v>
      </c>
    </row>
    <row r="135" spans="1:8" x14ac:dyDescent="0.3">
      <c r="A135">
        <v>1134</v>
      </c>
      <c r="B135" t="s">
        <v>539</v>
      </c>
      <c r="C135" t="s">
        <v>16</v>
      </c>
      <c r="D135">
        <v>61</v>
      </c>
      <c r="E135" t="s">
        <v>35</v>
      </c>
      <c r="F135" t="s">
        <v>14</v>
      </c>
      <c r="G135" t="s">
        <v>830</v>
      </c>
      <c r="H135" t="s">
        <v>154</v>
      </c>
    </row>
    <row r="136" spans="1:8" x14ac:dyDescent="0.3">
      <c r="A136">
        <v>1135</v>
      </c>
      <c r="B136" t="s">
        <v>540</v>
      </c>
      <c r="C136" t="s">
        <v>16</v>
      </c>
      <c r="D136">
        <v>47</v>
      </c>
      <c r="E136" t="s">
        <v>49</v>
      </c>
      <c r="F136" t="s">
        <v>14</v>
      </c>
      <c r="G136" t="s">
        <v>831</v>
      </c>
      <c r="H136" t="s">
        <v>155</v>
      </c>
    </row>
    <row r="137" spans="1:8" x14ac:dyDescent="0.3">
      <c r="A137">
        <v>1136</v>
      </c>
      <c r="B137" t="s">
        <v>541</v>
      </c>
      <c r="C137" t="s">
        <v>16</v>
      </c>
      <c r="D137">
        <v>30</v>
      </c>
      <c r="E137" t="s">
        <v>13</v>
      </c>
      <c r="F137" t="s">
        <v>24</v>
      </c>
      <c r="G137" t="s">
        <v>832</v>
      </c>
      <c r="H137" t="s">
        <v>156</v>
      </c>
    </row>
    <row r="138" spans="1:8" x14ac:dyDescent="0.3">
      <c r="A138">
        <v>1137</v>
      </c>
      <c r="B138" t="s">
        <v>542</v>
      </c>
      <c r="C138" t="s">
        <v>7</v>
      </c>
      <c r="D138">
        <v>61</v>
      </c>
      <c r="E138" t="s">
        <v>8</v>
      </c>
      <c r="F138" t="s">
        <v>14</v>
      </c>
      <c r="G138" t="s">
        <v>833</v>
      </c>
      <c r="H138" t="s">
        <v>157</v>
      </c>
    </row>
    <row r="139" spans="1:8" x14ac:dyDescent="0.3">
      <c r="A139">
        <v>1138</v>
      </c>
      <c r="B139" t="s">
        <v>543</v>
      </c>
      <c r="C139" t="s">
        <v>16</v>
      </c>
      <c r="D139">
        <v>18</v>
      </c>
      <c r="E139" t="s">
        <v>28</v>
      </c>
      <c r="F139" t="s">
        <v>14</v>
      </c>
      <c r="G139" t="s">
        <v>739</v>
      </c>
      <c r="H139" t="s">
        <v>158</v>
      </c>
    </row>
    <row r="140" spans="1:8" x14ac:dyDescent="0.3">
      <c r="A140">
        <v>1139</v>
      </c>
      <c r="B140" t="s">
        <v>544</v>
      </c>
      <c r="C140" t="s">
        <v>16</v>
      </c>
      <c r="D140">
        <v>46</v>
      </c>
      <c r="E140" t="s">
        <v>20</v>
      </c>
      <c r="F140" t="s">
        <v>9</v>
      </c>
      <c r="G140" t="s">
        <v>834</v>
      </c>
      <c r="H140" t="s">
        <v>159</v>
      </c>
    </row>
    <row r="141" spans="1:8" x14ac:dyDescent="0.3">
      <c r="A141">
        <v>1140</v>
      </c>
      <c r="B141" t="s">
        <v>545</v>
      </c>
      <c r="C141" t="s">
        <v>7</v>
      </c>
      <c r="D141">
        <v>27</v>
      </c>
      <c r="E141" t="s">
        <v>8</v>
      </c>
      <c r="F141" t="s">
        <v>11</v>
      </c>
      <c r="G141" t="s">
        <v>835</v>
      </c>
      <c r="H141" t="s">
        <v>160</v>
      </c>
    </row>
    <row r="142" spans="1:8" x14ac:dyDescent="0.3">
      <c r="A142">
        <v>1141</v>
      </c>
      <c r="B142" t="s">
        <v>546</v>
      </c>
      <c r="C142" t="s">
        <v>16</v>
      </c>
      <c r="D142">
        <v>40</v>
      </c>
      <c r="E142" t="s">
        <v>49</v>
      </c>
      <c r="F142" t="s">
        <v>18</v>
      </c>
      <c r="G142" t="s">
        <v>781</v>
      </c>
      <c r="H142" t="s">
        <v>161</v>
      </c>
    </row>
    <row r="143" spans="1:8" x14ac:dyDescent="0.3">
      <c r="A143">
        <v>1142</v>
      </c>
      <c r="B143" t="s">
        <v>547</v>
      </c>
      <c r="C143" t="s">
        <v>16</v>
      </c>
      <c r="D143">
        <v>21</v>
      </c>
      <c r="E143" t="s">
        <v>13</v>
      </c>
      <c r="F143" t="s">
        <v>20</v>
      </c>
      <c r="G143" t="s">
        <v>836</v>
      </c>
      <c r="H143" t="s">
        <v>162</v>
      </c>
    </row>
    <row r="144" spans="1:8" x14ac:dyDescent="0.3">
      <c r="A144">
        <v>1143</v>
      </c>
      <c r="B144" t="s">
        <v>548</v>
      </c>
      <c r="C144" t="s">
        <v>7</v>
      </c>
      <c r="D144">
        <v>58</v>
      </c>
      <c r="E144" t="s">
        <v>28</v>
      </c>
      <c r="F144" t="s">
        <v>14</v>
      </c>
      <c r="G144" t="s">
        <v>837</v>
      </c>
      <c r="H144" t="s">
        <v>163</v>
      </c>
    </row>
    <row r="145" spans="1:8" x14ac:dyDescent="0.3">
      <c r="A145">
        <v>1144</v>
      </c>
      <c r="B145" t="s">
        <v>549</v>
      </c>
      <c r="C145" t="s">
        <v>16</v>
      </c>
      <c r="D145">
        <v>63</v>
      </c>
      <c r="E145" t="s">
        <v>28</v>
      </c>
      <c r="F145" t="s">
        <v>9</v>
      </c>
      <c r="G145" t="s">
        <v>763</v>
      </c>
      <c r="H145" t="s">
        <v>164</v>
      </c>
    </row>
    <row r="146" spans="1:8" x14ac:dyDescent="0.3">
      <c r="A146">
        <v>1145</v>
      </c>
      <c r="B146" t="s">
        <v>550</v>
      </c>
      <c r="C146" t="s">
        <v>16</v>
      </c>
      <c r="D146">
        <v>51</v>
      </c>
      <c r="E146" t="s">
        <v>8</v>
      </c>
      <c r="F146" t="s">
        <v>24</v>
      </c>
      <c r="G146" t="s">
        <v>734</v>
      </c>
      <c r="H146" t="s">
        <v>165</v>
      </c>
    </row>
    <row r="147" spans="1:8" x14ac:dyDescent="0.3">
      <c r="A147">
        <v>1146</v>
      </c>
      <c r="B147" t="s">
        <v>551</v>
      </c>
      <c r="C147" t="s">
        <v>16</v>
      </c>
      <c r="D147">
        <v>61</v>
      </c>
      <c r="E147" t="s">
        <v>49</v>
      </c>
      <c r="F147" t="s">
        <v>9</v>
      </c>
      <c r="G147" t="s">
        <v>838</v>
      </c>
      <c r="H147" t="s">
        <v>166</v>
      </c>
    </row>
    <row r="148" spans="1:8" x14ac:dyDescent="0.3">
      <c r="A148">
        <v>1147</v>
      </c>
      <c r="B148" t="s">
        <v>552</v>
      </c>
      <c r="C148" t="s">
        <v>7</v>
      </c>
      <c r="D148">
        <v>58</v>
      </c>
      <c r="E148" t="s">
        <v>28</v>
      </c>
      <c r="F148" t="s">
        <v>24</v>
      </c>
      <c r="G148" t="s">
        <v>813</v>
      </c>
      <c r="H148" t="s">
        <v>167</v>
      </c>
    </row>
    <row r="149" spans="1:8" x14ac:dyDescent="0.3">
      <c r="A149">
        <v>1148</v>
      </c>
      <c r="B149" t="s">
        <v>553</v>
      </c>
      <c r="C149" t="s">
        <v>16</v>
      </c>
      <c r="D149">
        <v>41</v>
      </c>
      <c r="E149" t="s">
        <v>22</v>
      </c>
      <c r="F149" t="s">
        <v>24</v>
      </c>
      <c r="G149" t="s">
        <v>740</v>
      </c>
      <c r="H149" t="s">
        <v>168</v>
      </c>
    </row>
    <row r="150" spans="1:8" x14ac:dyDescent="0.3">
      <c r="A150">
        <v>1149</v>
      </c>
      <c r="B150" t="s">
        <v>554</v>
      </c>
      <c r="C150" t="s">
        <v>16</v>
      </c>
      <c r="D150">
        <v>45</v>
      </c>
      <c r="E150" t="s">
        <v>20</v>
      </c>
      <c r="F150" t="s">
        <v>20</v>
      </c>
      <c r="G150" t="s">
        <v>738</v>
      </c>
      <c r="H150" t="s">
        <v>169</v>
      </c>
    </row>
    <row r="151" spans="1:8" x14ac:dyDescent="0.3">
      <c r="A151">
        <v>1150</v>
      </c>
      <c r="B151" t="s">
        <v>555</v>
      </c>
      <c r="C151" t="s">
        <v>16</v>
      </c>
      <c r="D151">
        <v>18</v>
      </c>
      <c r="E151" t="s">
        <v>49</v>
      </c>
      <c r="F151" t="s">
        <v>18</v>
      </c>
      <c r="G151" t="s">
        <v>741</v>
      </c>
      <c r="H151" t="s">
        <v>170</v>
      </c>
    </row>
    <row r="152" spans="1:8" x14ac:dyDescent="0.3">
      <c r="A152">
        <v>1151</v>
      </c>
      <c r="B152" t="s">
        <v>556</v>
      </c>
      <c r="C152" t="s">
        <v>16</v>
      </c>
      <c r="D152">
        <v>58</v>
      </c>
      <c r="E152" t="s">
        <v>20</v>
      </c>
      <c r="F152" t="s">
        <v>14</v>
      </c>
      <c r="G152" t="s">
        <v>720</v>
      </c>
      <c r="H152" t="s">
        <v>171</v>
      </c>
    </row>
    <row r="153" spans="1:8" x14ac:dyDescent="0.3">
      <c r="A153">
        <v>1152</v>
      </c>
      <c r="B153" t="s">
        <v>557</v>
      </c>
      <c r="C153" t="s">
        <v>7</v>
      </c>
      <c r="D153">
        <v>55</v>
      </c>
      <c r="E153" t="s">
        <v>20</v>
      </c>
      <c r="F153" t="s">
        <v>9</v>
      </c>
      <c r="G153" t="s">
        <v>839</v>
      </c>
      <c r="H153" t="s">
        <v>172</v>
      </c>
    </row>
    <row r="154" spans="1:8" x14ac:dyDescent="0.3">
      <c r="A154">
        <v>1153</v>
      </c>
      <c r="B154" t="s">
        <v>558</v>
      </c>
      <c r="C154" t="s">
        <v>16</v>
      </c>
      <c r="D154">
        <v>38</v>
      </c>
      <c r="E154" t="s">
        <v>22</v>
      </c>
      <c r="F154" t="s">
        <v>18</v>
      </c>
      <c r="G154" t="s">
        <v>742</v>
      </c>
      <c r="H154" t="s">
        <v>173</v>
      </c>
    </row>
    <row r="155" spans="1:8" x14ac:dyDescent="0.3">
      <c r="A155">
        <v>1154</v>
      </c>
      <c r="B155" t="s">
        <v>559</v>
      </c>
      <c r="C155" t="s">
        <v>7</v>
      </c>
      <c r="D155">
        <v>43</v>
      </c>
      <c r="E155" t="s">
        <v>28</v>
      </c>
      <c r="F155" t="s">
        <v>9</v>
      </c>
      <c r="G155" t="s">
        <v>718</v>
      </c>
      <c r="H155" t="s">
        <v>174</v>
      </c>
    </row>
    <row r="156" spans="1:8" x14ac:dyDescent="0.3">
      <c r="A156">
        <v>1155</v>
      </c>
      <c r="B156" t="s">
        <v>560</v>
      </c>
      <c r="C156" t="s">
        <v>16</v>
      </c>
      <c r="D156">
        <v>32</v>
      </c>
      <c r="E156" t="s">
        <v>8</v>
      </c>
      <c r="F156" t="s">
        <v>24</v>
      </c>
      <c r="G156" t="s">
        <v>840</v>
      </c>
      <c r="H156" t="s">
        <v>175</v>
      </c>
    </row>
    <row r="157" spans="1:8" x14ac:dyDescent="0.3">
      <c r="A157">
        <v>1156</v>
      </c>
      <c r="B157" t="s">
        <v>561</v>
      </c>
      <c r="C157" t="s">
        <v>16</v>
      </c>
      <c r="D157">
        <v>65</v>
      </c>
      <c r="E157" t="s">
        <v>49</v>
      </c>
      <c r="F157" t="s">
        <v>9</v>
      </c>
      <c r="G157" t="s">
        <v>735</v>
      </c>
      <c r="H157" t="s">
        <v>176</v>
      </c>
    </row>
    <row r="158" spans="1:8" x14ac:dyDescent="0.3">
      <c r="A158">
        <v>1157</v>
      </c>
      <c r="B158" t="s">
        <v>562</v>
      </c>
      <c r="C158" t="s">
        <v>16</v>
      </c>
      <c r="D158">
        <v>22</v>
      </c>
      <c r="E158" t="s">
        <v>22</v>
      </c>
      <c r="F158" t="s">
        <v>24</v>
      </c>
      <c r="G158" t="s">
        <v>841</v>
      </c>
      <c r="H158" t="s">
        <v>177</v>
      </c>
    </row>
    <row r="159" spans="1:8" x14ac:dyDescent="0.3">
      <c r="A159">
        <v>1158</v>
      </c>
      <c r="B159" t="s">
        <v>563</v>
      </c>
      <c r="C159" t="s">
        <v>16</v>
      </c>
      <c r="D159">
        <v>59</v>
      </c>
      <c r="E159" t="s">
        <v>8</v>
      </c>
      <c r="F159" t="s">
        <v>14</v>
      </c>
      <c r="G159" t="s">
        <v>842</v>
      </c>
      <c r="H159" t="s">
        <v>178</v>
      </c>
    </row>
    <row r="160" spans="1:8" x14ac:dyDescent="0.3">
      <c r="A160">
        <v>1159</v>
      </c>
      <c r="B160" t="s">
        <v>436</v>
      </c>
      <c r="C160" t="s">
        <v>7</v>
      </c>
      <c r="D160">
        <v>65</v>
      </c>
      <c r="E160" t="s">
        <v>8</v>
      </c>
      <c r="F160" t="s">
        <v>24</v>
      </c>
      <c r="G160" t="s">
        <v>712</v>
      </c>
      <c r="H160" t="s">
        <v>179</v>
      </c>
    </row>
    <row r="161" spans="1:8" x14ac:dyDescent="0.3">
      <c r="A161">
        <v>1160</v>
      </c>
      <c r="B161" t="s">
        <v>564</v>
      </c>
      <c r="C161" t="s">
        <v>16</v>
      </c>
      <c r="D161">
        <v>26</v>
      </c>
      <c r="E161" t="s">
        <v>28</v>
      </c>
      <c r="F161" t="s">
        <v>14</v>
      </c>
      <c r="G161" t="s">
        <v>843</v>
      </c>
      <c r="H161" t="s">
        <v>180</v>
      </c>
    </row>
    <row r="162" spans="1:8" x14ac:dyDescent="0.3">
      <c r="A162">
        <v>1161</v>
      </c>
      <c r="B162" t="s">
        <v>565</v>
      </c>
      <c r="C162" t="s">
        <v>7</v>
      </c>
      <c r="D162">
        <v>32</v>
      </c>
      <c r="E162" t="s">
        <v>20</v>
      </c>
      <c r="F162" t="s">
        <v>18</v>
      </c>
      <c r="G162" t="s">
        <v>743</v>
      </c>
      <c r="H162" t="s">
        <v>181</v>
      </c>
    </row>
    <row r="163" spans="1:8" x14ac:dyDescent="0.3">
      <c r="A163">
        <v>1162</v>
      </c>
      <c r="B163" t="s">
        <v>566</v>
      </c>
      <c r="C163" t="s">
        <v>7</v>
      </c>
      <c r="D163">
        <v>38</v>
      </c>
      <c r="E163" t="s">
        <v>35</v>
      </c>
      <c r="F163" t="s">
        <v>24</v>
      </c>
      <c r="G163" t="s">
        <v>844</v>
      </c>
      <c r="H163" t="s">
        <v>182</v>
      </c>
    </row>
    <row r="164" spans="1:8" x14ac:dyDescent="0.3">
      <c r="A164">
        <v>1163</v>
      </c>
      <c r="B164" t="s">
        <v>567</v>
      </c>
      <c r="C164" t="s">
        <v>16</v>
      </c>
      <c r="D164">
        <v>18</v>
      </c>
      <c r="E164" t="s">
        <v>13</v>
      </c>
      <c r="F164" t="s">
        <v>20</v>
      </c>
      <c r="G164" t="s">
        <v>845</v>
      </c>
      <c r="H164" t="s">
        <v>183</v>
      </c>
    </row>
    <row r="165" spans="1:8" x14ac:dyDescent="0.3">
      <c r="A165">
        <v>1164</v>
      </c>
      <c r="B165" t="s">
        <v>568</v>
      </c>
      <c r="C165" t="s">
        <v>7</v>
      </c>
      <c r="D165">
        <v>37</v>
      </c>
      <c r="E165" t="s">
        <v>20</v>
      </c>
      <c r="F165" t="s">
        <v>20</v>
      </c>
      <c r="G165" t="s">
        <v>846</v>
      </c>
      <c r="H165" t="s">
        <v>184</v>
      </c>
    </row>
    <row r="166" spans="1:8" x14ac:dyDescent="0.3">
      <c r="A166">
        <v>1165</v>
      </c>
      <c r="B166" t="s">
        <v>569</v>
      </c>
      <c r="C166" t="s">
        <v>7</v>
      </c>
      <c r="D166">
        <v>38</v>
      </c>
      <c r="E166" t="s">
        <v>35</v>
      </c>
      <c r="F166" t="s">
        <v>11</v>
      </c>
      <c r="G166" t="s">
        <v>763</v>
      </c>
      <c r="H166" t="s">
        <v>185</v>
      </c>
    </row>
    <row r="167" spans="1:8" x14ac:dyDescent="0.3">
      <c r="A167">
        <v>1166</v>
      </c>
      <c r="B167" t="s">
        <v>570</v>
      </c>
      <c r="C167" t="s">
        <v>7</v>
      </c>
      <c r="D167">
        <v>48</v>
      </c>
      <c r="E167" t="s">
        <v>20</v>
      </c>
      <c r="F167" t="s">
        <v>11</v>
      </c>
      <c r="G167" t="s">
        <v>847</v>
      </c>
      <c r="H167" t="s">
        <v>186</v>
      </c>
    </row>
    <row r="168" spans="1:8" x14ac:dyDescent="0.3">
      <c r="A168">
        <v>1167</v>
      </c>
      <c r="B168" t="s">
        <v>571</v>
      </c>
      <c r="C168" t="s">
        <v>7</v>
      </c>
      <c r="D168">
        <v>65</v>
      </c>
      <c r="E168" t="s">
        <v>49</v>
      </c>
      <c r="F168" t="s">
        <v>14</v>
      </c>
      <c r="G168" t="s">
        <v>848</v>
      </c>
      <c r="H168" t="s">
        <v>187</v>
      </c>
    </row>
    <row r="169" spans="1:8" x14ac:dyDescent="0.3">
      <c r="A169">
        <v>1168</v>
      </c>
      <c r="B169" t="s">
        <v>572</v>
      </c>
      <c r="C169" t="s">
        <v>7</v>
      </c>
      <c r="D169">
        <v>40</v>
      </c>
      <c r="E169" t="s">
        <v>35</v>
      </c>
      <c r="F169" t="s">
        <v>20</v>
      </c>
      <c r="G169" t="s">
        <v>849</v>
      </c>
      <c r="H169" t="s">
        <v>188</v>
      </c>
    </row>
    <row r="170" spans="1:8" x14ac:dyDescent="0.3">
      <c r="A170">
        <v>1169</v>
      </c>
      <c r="B170" t="s">
        <v>573</v>
      </c>
      <c r="C170" t="s">
        <v>7</v>
      </c>
      <c r="D170">
        <v>37</v>
      </c>
      <c r="E170" t="s">
        <v>20</v>
      </c>
      <c r="F170" t="s">
        <v>11</v>
      </c>
      <c r="G170" t="s">
        <v>744</v>
      </c>
      <c r="H170" t="s">
        <v>189</v>
      </c>
    </row>
    <row r="171" spans="1:8" x14ac:dyDescent="0.3">
      <c r="A171">
        <v>1170</v>
      </c>
      <c r="B171" t="s">
        <v>574</v>
      </c>
      <c r="C171" t="s">
        <v>16</v>
      </c>
      <c r="D171">
        <v>52</v>
      </c>
      <c r="E171" t="s">
        <v>35</v>
      </c>
      <c r="F171" t="s">
        <v>11</v>
      </c>
      <c r="G171" t="s">
        <v>850</v>
      </c>
      <c r="H171" t="s">
        <v>190</v>
      </c>
    </row>
    <row r="172" spans="1:8" x14ac:dyDescent="0.3">
      <c r="A172">
        <v>1171</v>
      </c>
      <c r="B172" t="s">
        <v>575</v>
      </c>
      <c r="C172" t="s">
        <v>16</v>
      </c>
      <c r="D172">
        <v>43</v>
      </c>
      <c r="E172" t="s">
        <v>20</v>
      </c>
      <c r="F172" t="s">
        <v>11</v>
      </c>
      <c r="G172" t="s">
        <v>719</v>
      </c>
      <c r="H172" t="s">
        <v>191</v>
      </c>
    </row>
    <row r="173" spans="1:8" x14ac:dyDescent="0.3">
      <c r="A173">
        <v>1172</v>
      </c>
      <c r="B173" t="s">
        <v>576</v>
      </c>
      <c r="C173" t="s">
        <v>7</v>
      </c>
      <c r="D173">
        <v>44</v>
      </c>
      <c r="E173" t="s">
        <v>8</v>
      </c>
      <c r="F173" t="s">
        <v>14</v>
      </c>
      <c r="G173" t="s">
        <v>838</v>
      </c>
      <c r="H173" t="s">
        <v>192</v>
      </c>
    </row>
    <row r="174" spans="1:8" x14ac:dyDescent="0.3">
      <c r="A174">
        <v>1173</v>
      </c>
      <c r="B174" t="s">
        <v>577</v>
      </c>
      <c r="C174" t="s">
        <v>7</v>
      </c>
      <c r="D174">
        <v>51</v>
      </c>
      <c r="E174" t="s">
        <v>13</v>
      </c>
      <c r="F174" t="s">
        <v>24</v>
      </c>
      <c r="G174" t="s">
        <v>851</v>
      </c>
      <c r="H174" t="s">
        <v>193</v>
      </c>
    </row>
    <row r="175" spans="1:8" x14ac:dyDescent="0.3">
      <c r="A175">
        <v>1174</v>
      </c>
      <c r="B175" t="s">
        <v>578</v>
      </c>
      <c r="C175" t="s">
        <v>16</v>
      </c>
      <c r="D175">
        <v>23</v>
      </c>
      <c r="E175" t="s">
        <v>28</v>
      </c>
      <c r="F175" t="s">
        <v>24</v>
      </c>
      <c r="G175" t="s">
        <v>852</v>
      </c>
      <c r="H175" t="s">
        <v>194</v>
      </c>
    </row>
    <row r="176" spans="1:8" x14ac:dyDescent="0.3">
      <c r="A176">
        <v>1175</v>
      </c>
      <c r="B176" t="s">
        <v>579</v>
      </c>
      <c r="C176" t="s">
        <v>7</v>
      </c>
      <c r="D176">
        <v>51</v>
      </c>
      <c r="E176" t="s">
        <v>35</v>
      </c>
      <c r="F176" t="s">
        <v>20</v>
      </c>
      <c r="G176" t="s">
        <v>745</v>
      </c>
      <c r="H176" t="s">
        <v>195</v>
      </c>
    </row>
    <row r="177" spans="1:8" x14ac:dyDescent="0.3">
      <c r="A177">
        <v>1176</v>
      </c>
      <c r="B177" t="s">
        <v>580</v>
      </c>
      <c r="C177" t="s">
        <v>16</v>
      </c>
      <c r="D177">
        <v>37</v>
      </c>
      <c r="E177" t="s">
        <v>49</v>
      </c>
      <c r="F177" t="s">
        <v>18</v>
      </c>
      <c r="G177" t="s">
        <v>853</v>
      </c>
      <c r="H177" t="s">
        <v>196</v>
      </c>
    </row>
    <row r="178" spans="1:8" x14ac:dyDescent="0.3">
      <c r="A178">
        <v>1177</v>
      </c>
      <c r="B178" t="s">
        <v>581</v>
      </c>
      <c r="C178" t="s">
        <v>16</v>
      </c>
      <c r="D178">
        <v>44</v>
      </c>
      <c r="E178" t="s">
        <v>13</v>
      </c>
      <c r="F178" t="s">
        <v>18</v>
      </c>
      <c r="G178" t="s">
        <v>704</v>
      </c>
      <c r="H178" t="s">
        <v>197</v>
      </c>
    </row>
    <row r="179" spans="1:8" x14ac:dyDescent="0.3">
      <c r="A179">
        <v>1178</v>
      </c>
      <c r="B179" t="s">
        <v>582</v>
      </c>
      <c r="C179" t="s">
        <v>7</v>
      </c>
      <c r="D179">
        <v>55</v>
      </c>
      <c r="E179" t="s">
        <v>20</v>
      </c>
      <c r="F179" t="s">
        <v>14</v>
      </c>
      <c r="G179" t="s">
        <v>746</v>
      </c>
      <c r="H179" t="s">
        <v>198</v>
      </c>
    </row>
    <row r="180" spans="1:8" x14ac:dyDescent="0.3">
      <c r="A180">
        <v>1179</v>
      </c>
      <c r="B180" t="s">
        <v>583</v>
      </c>
      <c r="C180" t="s">
        <v>16</v>
      </c>
      <c r="D180">
        <v>47</v>
      </c>
      <c r="E180" t="s">
        <v>22</v>
      </c>
      <c r="F180" t="s">
        <v>18</v>
      </c>
      <c r="G180" t="s">
        <v>850</v>
      </c>
      <c r="H180" t="s">
        <v>199</v>
      </c>
    </row>
    <row r="181" spans="1:8" x14ac:dyDescent="0.3">
      <c r="A181">
        <v>1180</v>
      </c>
      <c r="B181" t="s">
        <v>584</v>
      </c>
      <c r="C181" t="s">
        <v>16</v>
      </c>
      <c r="D181">
        <v>59</v>
      </c>
      <c r="E181" t="s">
        <v>13</v>
      </c>
      <c r="F181" t="s">
        <v>14</v>
      </c>
      <c r="G181" t="s">
        <v>854</v>
      </c>
      <c r="H181" t="s">
        <v>200</v>
      </c>
    </row>
    <row r="182" spans="1:8" x14ac:dyDescent="0.3">
      <c r="A182">
        <v>1181</v>
      </c>
      <c r="B182" t="s">
        <v>585</v>
      </c>
      <c r="C182" t="s">
        <v>7</v>
      </c>
      <c r="D182">
        <v>59</v>
      </c>
      <c r="E182" t="s">
        <v>28</v>
      </c>
      <c r="F182" t="s">
        <v>18</v>
      </c>
      <c r="G182" t="s">
        <v>811</v>
      </c>
      <c r="H182" t="s">
        <v>201</v>
      </c>
    </row>
    <row r="183" spans="1:8" x14ac:dyDescent="0.3">
      <c r="A183">
        <v>1182</v>
      </c>
      <c r="B183" t="s">
        <v>586</v>
      </c>
      <c r="C183" t="s">
        <v>16</v>
      </c>
      <c r="D183">
        <v>47</v>
      </c>
      <c r="E183" t="s">
        <v>49</v>
      </c>
      <c r="F183" t="s">
        <v>11</v>
      </c>
      <c r="G183" t="s">
        <v>733</v>
      </c>
      <c r="H183" t="s">
        <v>202</v>
      </c>
    </row>
    <row r="184" spans="1:8" x14ac:dyDescent="0.3">
      <c r="A184">
        <v>1183</v>
      </c>
      <c r="B184" t="s">
        <v>587</v>
      </c>
      <c r="C184" t="s">
        <v>16</v>
      </c>
      <c r="D184">
        <v>20</v>
      </c>
      <c r="E184" t="s">
        <v>13</v>
      </c>
      <c r="F184" t="s">
        <v>18</v>
      </c>
      <c r="G184" t="s">
        <v>855</v>
      </c>
      <c r="H184" t="s">
        <v>203</v>
      </c>
    </row>
    <row r="185" spans="1:8" x14ac:dyDescent="0.3">
      <c r="A185">
        <v>1184</v>
      </c>
      <c r="B185" t="s">
        <v>588</v>
      </c>
      <c r="C185" t="s">
        <v>7</v>
      </c>
      <c r="D185">
        <v>41</v>
      </c>
      <c r="E185" t="s">
        <v>28</v>
      </c>
      <c r="F185" t="s">
        <v>20</v>
      </c>
      <c r="G185" t="s">
        <v>856</v>
      </c>
      <c r="H185" t="s">
        <v>204</v>
      </c>
    </row>
    <row r="186" spans="1:8" x14ac:dyDescent="0.3">
      <c r="A186">
        <v>1185</v>
      </c>
      <c r="B186" t="s">
        <v>589</v>
      </c>
      <c r="C186" t="s">
        <v>16</v>
      </c>
      <c r="D186">
        <v>52</v>
      </c>
      <c r="E186" t="s">
        <v>8</v>
      </c>
      <c r="F186" t="s">
        <v>14</v>
      </c>
      <c r="G186" t="s">
        <v>747</v>
      </c>
      <c r="H186" t="s">
        <v>205</v>
      </c>
    </row>
    <row r="187" spans="1:8" x14ac:dyDescent="0.3">
      <c r="A187">
        <v>1186</v>
      </c>
      <c r="B187" t="s">
        <v>590</v>
      </c>
      <c r="C187" t="s">
        <v>7</v>
      </c>
      <c r="D187">
        <v>50</v>
      </c>
      <c r="E187" t="s">
        <v>13</v>
      </c>
      <c r="F187" t="s">
        <v>14</v>
      </c>
      <c r="G187" t="s">
        <v>857</v>
      </c>
      <c r="H187" t="s">
        <v>206</v>
      </c>
    </row>
    <row r="188" spans="1:8" x14ac:dyDescent="0.3">
      <c r="A188">
        <v>1187</v>
      </c>
      <c r="B188" t="s">
        <v>591</v>
      </c>
      <c r="C188" t="s">
        <v>16</v>
      </c>
      <c r="D188">
        <v>39</v>
      </c>
      <c r="E188" t="s">
        <v>13</v>
      </c>
      <c r="F188" t="s">
        <v>18</v>
      </c>
      <c r="G188" t="s">
        <v>818</v>
      </c>
      <c r="H188" t="s">
        <v>207</v>
      </c>
    </row>
    <row r="189" spans="1:8" x14ac:dyDescent="0.3">
      <c r="A189">
        <v>1188</v>
      </c>
      <c r="B189" t="s">
        <v>592</v>
      </c>
      <c r="C189" t="s">
        <v>7</v>
      </c>
      <c r="D189">
        <v>33</v>
      </c>
      <c r="E189" t="s">
        <v>35</v>
      </c>
      <c r="F189" t="s">
        <v>9</v>
      </c>
      <c r="G189" t="s">
        <v>739</v>
      </c>
      <c r="H189" t="s">
        <v>208</v>
      </c>
    </row>
    <row r="190" spans="1:8" x14ac:dyDescent="0.3">
      <c r="A190">
        <v>1189</v>
      </c>
      <c r="B190" t="s">
        <v>593</v>
      </c>
      <c r="C190" t="s">
        <v>7</v>
      </c>
      <c r="D190">
        <v>21</v>
      </c>
      <c r="E190" t="s">
        <v>20</v>
      </c>
      <c r="F190" t="s">
        <v>18</v>
      </c>
      <c r="G190" t="s">
        <v>748</v>
      </c>
      <c r="H190" t="s">
        <v>209</v>
      </c>
    </row>
    <row r="191" spans="1:8" x14ac:dyDescent="0.3">
      <c r="A191">
        <v>1190</v>
      </c>
      <c r="B191" t="s">
        <v>594</v>
      </c>
      <c r="C191" t="s">
        <v>16</v>
      </c>
      <c r="D191">
        <v>29</v>
      </c>
      <c r="E191" t="s">
        <v>20</v>
      </c>
      <c r="F191" t="s">
        <v>20</v>
      </c>
      <c r="G191" t="s">
        <v>858</v>
      </c>
      <c r="H191" t="s">
        <v>210</v>
      </c>
    </row>
    <row r="192" spans="1:8" x14ac:dyDescent="0.3">
      <c r="A192">
        <v>1191</v>
      </c>
      <c r="B192" t="s">
        <v>595</v>
      </c>
      <c r="C192" t="s">
        <v>7</v>
      </c>
      <c r="D192">
        <v>64</v>
      </c>
      <c r="E192" t="s">
        <v>22</v>
      </c>
      <c r="F192" t="s">
        <v>14</v>
      </c>
      <c r="G192" t="s">
        <v>749</v>
      </c>
      <c r="H192" t="s">
        <v>211</v>
      </c>
    </row>
    <row r="193" spans="1:8" x14ac:dyDescent="0.3">
      <c r="A193">
        <v>1192</v>
      </c>
      <c r="B193" t="s">
        <v>596</v>
      </c>
      <c r="C193" t="s">
        <v>7</v>
      </c>
      <c r="D193">
        <v>63</v>
      </c>
      <c r="E193" t="s">
        <v>8</v>
      </c>
      <c r="F193" t="s">
        <v>9</v>
      </c>
      <c r="G193" t="s">
        <v>707</v>
      </c>
      <c r="H193" t="s">
        <v>212</v>
      </c>
    </row>
    <row r="194" spans="1:8" x14ac:dyDescent="0.3">
      <c r="A194">
        <v>1193</v>
      </c>
      <c r="B194" t="s">
        <v>597</v>
      </c>
      <c r="C194" t="s">
        <v>7</v>
      </c>
      <c r="D194">
        <v>25</v>
      </c>
      <c r="E194" t="s">
        <v>8</v>
      </c>
      <c r="F194" t="s">
        <v>14</v>
      </c>
      <c r="G194" t="s">
        <v>709</v>
      </c>
      <c r="H194" t="s">
        <v>213</v>
      </c>
    </row>
    <row r="195" spans="1:8" x14ac:dyDescent="0.3">
      <c r="A195">
        <v>1194</v>
      </c>
      <c r="B195" t="s">
        <v>598</v>
      </c>
      <c r="C195" t="s">
        <v>7</v>
      </c>
      <c r="D195">
        <v>41</v>
      </c>
      <c r="E195" t="s">
        <v>13</v>
      </c>
      <c r="F195" t="s">
        <v>24</v>
      </c>
      <c r="G195" t="s">
        <v>750</v>
      </c>
      <c r="H195" t="s">
        <v>214</v>
      </c>
    </row>
    <row r="196" spans="1:8" x14ac:dyDescent="0.3">
      <c r="A196">
        <v>1195</v>
      </c>
      <c r="B196" t="s">
        <v>599</v>
      </c>
      <c r="C196" t="s">
        <v>7</v>
      </c>
      <c r="D196">
        <v>50</v>
      </c>
      <c r="E196" t="s">
        <v>35</v>
      </c>
      <c r="F196" t="s">
        <v>24</v>
      </c>
      <c r="G196" t="s">
        <v>722</v>
      </c>
      <c r="H196" t="s">
        <v>215</v>
      </c>
    </row>
    <row r="197" spans="1:8" x14ac:dyDescent="0.3">
      <c r="A197">
        <v>1196</v>
      </c>
      <c r="B197" t="s">
        <v>600</v>
      </c>
      <c r="C197" t="s">
        <v>7</v>
      </c>
      <c r="D197">
        <v>20</v>
      </c>
      <c r="E197" t="s">
        <v>28</v>
      </c>
      <c r="F197" t="s">
        <v>14</v>
      </c>
      <c r="G197" t="s">
        <v>720</v>
      </c>
      <c r="H197" t="s">
        <v>216</v>
      </c>
    </row>
    <row r="198" spans="1:8" x14ac:dyDescent="0.3">
      <c r="A198">
        <v>1197</v>
      </c>
      <c r="B198" t="s">
        <v>601</v>
      </c>
      <c r="C198" t="s">
        <v>7</v>
      </c>
      <c r="D198">
        <v>25</v>
      </c>
      <c r="E198" t="s">
        <v>35</v>
      </c>
      <c r="F198" t="s">
        <v>14</v>
      </c>
      <c r="G198" t="s">
        <v>766</v>
      </c>
      <c r="H198" t="s">
        <v>217</v>
      </c>
    </row>
    <row r="199" spans="1:8" x14ac:dyDescent="0.3">
      <c r="A199">
        <v>1198</v>
      </c>
      <c r="B199" t="s">
        <v>602</v>
      </c>
      <c r="C199" t="s">
        <v>7</v>
      </c>
      <c r="D199">
        <v>60</v>
      </c>
      <c r="E199" t="s">
        <v>49</v>
      </c>
      <c r="F199" t="s">
        <v>14</v>
      </c>
      <c r="G199" t="s">
        <v>859</v>
      </c>
      <c r="H199" t="s">
        <v>218</v>
      </c>
    </row>
    <row r="200" spans="1:8" x14ac:dyDescent="0.3">
      <c r="A200">
        <v>1199</v>
      </c>
      <c r="B200" t="s">
        <v>603</v>
      </c>
      <c r="C200" t="s">
        <v>16</v>
      </c>
      <c r="D200">
        <v>26</v>
      </c>
      <c r="E200" t="s">
        <v>49</v>
      </c>
      <c r="F200" t="s">
        <v>24</v>
      </c>
      <c r="G200" t="s">
        <v>860</v>
      </c>
      <c r="H200" t="s">
        <v>219</v>
      </c>
    </row>
    <row r="201" spans="1:8" x14ac:dyDescent="0.3">
      <c r="A201">
        <v>1200</v>
      </c>
      <c r="B201" t="s">
        <v>604</v>
      </c>
      <c r="C201" t="s">
        <v>7</v>
      </c>
      <c r="D201">
        <v>28</v>
      </c>
      <c r="E201" t="s">
        <v>13</v>
      </c>
      <c r="F201" t="s">
        <v>9</v>
      </c>
      <c r="G201" t="s">
        <v>861</v>
      </c>
      <c r="H201" t="s">
        <v>220</v>
      </c>
    </row>
    <row r="202" spans="1:8" x14ac:dyDescent="0.3">
      <c r="A202">
        <v>1201</v>
      </c>
      <c r="B202" t="s">
        <v>605</v>
      </c>
      <c r="C202" t="s">
        <v>7</v>
      </c>
      <c r="D202">
        <v>34</v>
      </c>
      <c r="E202" t="s">
        <v>35</v>
      </c>
      <c r="F202" t="s">
        <v>9</v>
      </c>
      <c r="G202" t="s">
        <v>751</v>
      </c>
      <c r="H202" t="s">
        <v>221</v>
      </c>
    </row>
    <row r="203" spans="1:8" x14ac:dyDescent="0.3">
      <c r="A203">
        <v>1202</v>
      </c>
      <c r="B203" t="s">
        <v>606</v>
      </c>
      <c r="C203" t="s">
        <v>7</v>
      </c>
      <c r="D203">
        <v>45</v>
      </c>
      <c r="E203" t="s">
        <v>8</v>
      </c>
      <c r="F203" t="s">
        <v>9</v>
      </c>
      <c r="G203" t="s">
        <v>862</v>
      </c>
      <c r="H203" t="s">
        <v>222</v>
      </c>
    </row>
    <row r="204" spans="1:8" x14ac:dyDescent="0.3">
      <c r="A204">
        <v>1203</v>
      </c>
      <c r="B204" t="s">
        <v>607</v>
      </c>
      <c r="C204" t="s">
        <v>16</v>
      </c>
      <c r="D204">
        <v>40</v>
      </c>
      <c r="E204" t="s">
        <v>49</v>
      </c>
      <c r="F204" t="s">
        <v>11</v>
      </c>
      <c r="G204" t="s">
        <v>707</v>
      </c>
      <c r="H204" t="s">
        <v>223</v>
      </c>
    </row>
    <row r="205" spans="1:8" x14ac:dyDescent="0.3">
      <c r="A205">
        <v>1204</v>
      </c>
      <c r="B205" t="s">
        <v>608</v>
      </c>
      <c r="C205" t="s">
        <v>7</v>
      </c>
      <c r="D205">
        <v>49</v>
      </c>
      <c r="E205" t="s">
        <v>8</v>
      </c>
      <c r="F205" t="s">
        <v>11</v>
      </c>
      <c r="G205" t="s">
        <v>712</v>
      </c>
      <c r="H205" t="s">
        <v>224</v>
      </c>
    </row>
    <row r="206" spans="1:8" x14ac:dyDescent="0.3">
      <c r="A206">
        <v>1205</v>
      </c>
      <c r="B206" t="s">
        <v>609</v>
      </c>
      <c r="C206" t="s">
        <v>7</v>
      </c>
      <c r="D206">
        <v>61</v>
      </c>
      <c r="E206" t="s">
        <v>28</v>
      </c>
      <c r="F206" t="s">
        <v>9</v>
      </c>
      <c r="G206" t="s">
        <v>863</v>
      </c>
      <c r="H206" t="s">
        <v>225</v>
      </c>
    </row>
    <row r="207" spans="1:8" x14ac:dyDescent="0.3">
      <c r="A207">
        <v>1206</v>
      </c>
      <c r="B207" t="s">
        <v>610</v>
      </c>
      <c r="C207" t="s">
        <v>7</v>
      </c>
      <c r="D207">
        <v>34</v>
      </c>
      <c r="E207" t="s">
        <v>22</v>
      </c>
      <c r="F207" t="s">
        <v>24</v>
      </c>
      <c r="G207" t="s">
        <v>720</v>
      </c>
      <c r="H207" t="s">
        <v>226</v>
      </c>
    </row>
    <row r="208" spans="1:8" x14ac:dyDescent="0.3">
      <c r="A208">
        <v>1207</v>
      </c>
      <c r="B208" t="s">
        <v>611</v>
      </c>
      <c r="C208" t="s">
        <v>16</v>
      </c>
      <c r="D208">
        <v>26</v>
      </c>
      <c r="E208" t="s">
        <v>8</v>
      </c>
      <c r="F208" t="s">
        <v>11</v>
      </c>
      <c r="G208" t="s">
        <v>745</v>
      </c>
      <c r="H208" t="s">
        <v>227</v>
      </c>
    </row>
    <row r="209" spans="1:8" x14ac:dyDescent="0.3">
      <c r="A209">
        <v>1208</v>
      </c>
      <c r="B209" t="s">
        <v>612</v>
      </c>
      <c r="C209" t="s">
        <v>7</v>
      </c>
      <c r="D209">
        <v>47</v>
      </c>
      <c r="E209" t="s">
        <v>20</v>
      </c>
      <c r="F209" t="s">
        <v>9</v>
      </c>
      <c r="G209" t="s">
        <v>864</v>
      </c>
      <c r="H209" t="s">
        <v>228</v>
      </c>
    </row>
    <row r="210" spans="1:8" x14ac:dyDescent="0.3">
      <c r="A210">
        <v>1209</v>
      </c>
      <c r="B210" t="s">
        <v>613</v>
      </c>
      <c r="C210" t="s">
        <v>16</v>
      </c>
      <c r="D210">
        <v>20</v>
      </c>
      <c r="E210" t="s">
        <v>35</v>
      </c>
      <c r="F210" t="s">
        <v>18</v>
      </c>
      <c r="G210" t="s">
        <v>865</v>
      </c>
      <c r="H210" t="s">
        <v>229</v>
      </c>
    </row>
    <row r="211" spans="1:8" x14ac:dyDescent="0.3">
      <c r="A211">
        <v>1210</v>
      </c>
      <c r="B211" t="s">
        <v>614</v>
      </c>
      <c r="C211" t="s">
        <v>7</v>
      </c>
      <c r="D211">
        <v>55</v>
      </c>
      <c r="E211" t="s">
        <v>20</v>
      </c>
      <c r="F211" t="s">
        <v>9</v>
      </c>
      <c r="G211" t="s">
        <v>866</v>
      </c>
      <c r="H211" t="s">
        <v>230</v>
      </c>
    </row>
    <row r="212" spans="1:8" x14ac:dyDescent="0.3">
      <c r="A212">
        <v>1211</v>
      </c>
      <c r="B212" t="s">
        <v>615</v>
      </c>
      <c r="C212" t="s">
        <v>16</v>
      </c>
      <c r="D212">
        <v>47</v>
      </c>
      <c r="E212" t="s">
        <v>28</v>
      </c>
      <c r="F212" t="s">
        <v>20</v>
      </c>
      <c r="G212" t="s">
        <v>867</v>
      </c>
      <c r="H212" t="s">
        <v>231</v>
      </c>
    </row>
    <row r="213" spans="1:8" x14ac:dyDescent="0.3">
      <c r="A213">
        <v>1212</v>
      </c>
      <c r="B213" t="s">
        <v>616</v>
      </c>
      <c r="C213" t="s">
        <v>16</v>
      </c>
      <c r="D213">
        <v>41</v>
      </c>
      <c r="E213" t="s">
        <v>28</v>
      </c>
      <c r="F213" t="s">
        <v>18</v>
      </c>
      <c r="G213" t="s">
        <v>771</v>
      </c>
      <c r="H213" t="s">
        <v>232</v>
      </c>
    </row>
    <row r="214" spans="1:8" x14ac:dyDescent="0.3">
      <c r="A214">
        <v>1213</v>
      </c>
      <c r="B214" t="s">
        <v>617</v>
      </c>
      <c r="C214" t="s">
        <v>7</v>
      </c>
      <c r="D214">
        <v>55</v>
      </c>
      <c r="E214" t="s">
        <v>8</v>
      </c>
      <c r="F214" t="s">
        <v>14</v>
      </c>
      <c r="G214" t="s">
        <v>702</v>
      </c>
      <c r="H214" t="s">
        <v>233</v>
      </c>
    </row>
    <row r="215" spans="1:8" x14ac:dyDescent="0.3">
      <c r="A215">
        <v>1214</v>
      </c>
      <c r="B215" t="s">
        <v>618</v>
      </c>
      <c r="C215" t="s">
        <v>16</v>
      </c>
      <c r="D215">
        <v>64</v>
      </c>
      <c r="E215" t="s">
        <v>22</v>
      </c>
      <c r="F215" t="s">
        <v>24</v>
      </c>
      <c r="G215" t="s">
        <v>779</v>
      </c>
      <c r="H215" t="s">
        <v>234</v>
      </c>
    </row>
    <row r="216" spans="1:8" x14ac:dyDescent="0.3">
      <c r="A216">
        <v>1215</v>
      </c>
      <c r="B216" t="s">
        <v>619</v>
      </c>
      <c r="C216" t="s">
        <v>16</v>
      </c>
      <c r="D216">
        <v>57</v>
      </c>
      <c r="E216" t="s">
        <v>28</v>
      </c>
      <c r="F216" t="s">
        <v>20</v>
      </c>
      <c r="G216" t="s">
        <v>868</v>
      </c>
      <c r="H216" t="s">
        <v>235</v>
      </c>
    </row>
    <row r="217" spans="1:8" x14ac:dyDescent="0.3">
      <c r="A217">
        <v>1216</v>
      </c>
      <c r="B217" t="s">
        <v>620</v>
      </c>
      <c r="C217" t="s">
        <v>16</v>
      </c>
      <c r="D217">
        <v>41</v>
      </c>
      <c r="E217" t="s">
        <v>35</v>
      </c>
      <c r="F217" t="s">
        <v>11</v>
      </c>
      <c r="G217" t="s">
        <v>727</v>
      </c>
      <c r="H217" t="s">
        <v>236</v>
      </c>
    </row>
    <row r="218" spans="1:8" x14ac:dyDescent="0.3">
      <c r="A218">
        <v>1217</v>
      </c>
      <c r="B218" t="s">
        <v>621</v>
      </c>
      <c r="C218" t="s">
        <v>16</v>
      </c>
      <c r="D218">
        <v>23</v>
      </c>
      <c r="E218" t="s">
        <v>8</v>
      </c>
      <c r="F218" t="s">
        <v>14</v>
      </c>
      <c r="G218" t="s">
        <v>869</v>
      </c>
      <c r="H218" t="s">
        <v>237</v>
      </c>
    </row>
    <row r="219" spans="1:8" x14ac:dyDescent="0.3">
      <c r="A219">
        <v>1218</v>
      </c>
      <c r="B219" t="s">
        <v>622</v>
      </c>
      <c r="C219" t="s">
        <v>16</v>
      </c>
      <c r="D219">
        <v>22</v>
      </c>
      <c r="E219" t="s">
        <v>22</v>
      </c>
      <c r="F219" t="s">
        <v>24</v>
      </c>
      <c r="G219" t="s">
        <v>780</v>
      </c>
      <c r="H219" t="s">
        <v>238</v>
      </c>
    </row>
    <row r="220" spans="1:8" x14ac:dyDescent="0.3">
      <c r="A220">
        <v>1219</v>
      </c>
      <c r="B220" t="s">
        <v>623</v>
      </c>
      <c r="C220" t="s">
        <v>16</v>
      </c>
      <c r="D220">
        <v>47</v>
      </c>
      <c r="E220" t="s">
        <v>28</v>
      </c>
      <c r="F220" t="s">
        <v>18</v>
      </c>
      <c r="G220" t="s">
        <v>738</v>
      </c>
      <c r="H220" t="s">
        <v>239</v>
      </c>
    </row>
    <row r="221" spans="1:8" x14ac:dyDescent="0.3">
      <c r="A221">
        <v>1220</v>
      </c>
      <c r="B221" t="s">
        <v>624</v>
      </c>
      <c r="C221" t="s">
        <v>16</v>
      </c>
      <c r="D221">
        <v>29</v>
      </c>
      <c r="E221" t="s">
        <v>28</v>
      </c>
      <c r="F221" t="s">
        <v>11</v>
      </c>
      <c r="G221" t="s">
        <v>752</v>
      </c>
      <c r="H221" t="s">
        <v>240</v>
      </c>
    </row>
    <row r="222" spans="1:8" x14ac:dyDescent="0.3">
      <c r="A222">
        <v>1221</v>
      </c>
      <c r="B222" t="s">
        <v>625</v>
      </c>
      <c r="C222" t="s">
        <v>7</v>
      </c>
      <c r="D222">
        <v>29</v>
      </c>
      <c r="E222" t="s">
        <v>13</v>
      </c>
      <c r="F222" t="s">
        <v>14</v>
      </c>
      <c r="G222" t="s">
        <v>704</v>
      </c>
      <c r="H222" t="s">
        <v>241</v>
      </c>
    </row>
    <row r="223" spans="1:8" x14ac:dyDescent="0.3">
      <c r="A223">
        <v>1222</v>
      </c>
      <c r="B223" t="s">
        <v>626</v>
      </c>
      <c r="C223" t="s">
        <v>7</v>
      </c>
      <c r="D223">
        <v>39</v>
      </c>
      <c r="E223" t="s">
        <v>8</v>
      </c>
      <c r="F223" t="s">
        <v>9</v>
      </c>
      <c r="G223" t="s">
        <v>870</v>
      </c>
      <c r="H223" t="s">
        <v>242</v>
      </c>
    </row>
    <row r="224" spans="1:8" x14ac:dyDescent="0.3">
      <c r="A224">
        <v>1223</v>
      </c>
      <c r="B224" t="s">
        <v>627</v>
      </c>
      <c r="C224" t="s">
        <v>16</v>
      </c>
      <c r="D224">
        <v>54</v>
      </c>
      <c r="E224" t="s">
        <v>13</v>
      </c>
      <c r="F224" t="s">
        <v>9</v>
      </c>
      <c r="G224" t="s">
        <v>871</v>
      </c>
      <c r="H224" t="s">
        <v>243</v>
      </c>
    </row>
    <row r="225" spans="1:8" x14ac:dyDescent="0.3">
      <c r="A225">
        <v>1224</v>
      </c>
      <c r="B225" t="s">
        <v>628</v>
      </c>
      <c r="C225" t="s">
        <v>16</v>
      </c>
      <c r="D225">
        <v>58</v>
      </c>
      <c r="E225" t="s">
        <v>22</v>
      </c>
      <c r="F225" t="s">
        <v>24</v>
      </c>
      <c r="G225" t="s">
        <v>811</v>
      </c>
      <c r="H225" t="s">
        <v>244</v>
      </c>
    </row>
    <row r="226" spans="1:8" x14ac:dyDescent="0.3">
      <c r="A226">
        <v>1225</v>
      </c>
      <c r="B226" t="s">
        <v>629</v>
      </c>
      <c r="C226" t="s">
        <v>16</v>
      </c>
      <c r="D226">
        <v>39</v>
      </c>
      <c r="E226" t="s">
        <v>13</v>
      </c>
      <c r="F226" t="s">
        <v>14</v>
      </c>
      <c r="G226" t="s">
        <v>780</v>
      </c>
      <c r="H226" t="s">
        <v>245</v>
      </c>
    </row>
    <row r="227" spans="1:8" x14ac:dyDescent="0.3">
      <c r="A227">
        <v>1226</v>
      </c>
      <c r="B227" t="s">
        <v>630</v>
      </c>
      <c r="C227" t="s">
        <v>16</v>
      </c>
      <c r="D227">
        <v>41</v>
      </c>
      <c r="E227" t="s">
        <v>35</v>
      </c>
      <c r="F227" t="s">
        <v>24</v>
      </c>
      <c r="G227" t="s">
        <v>777</v>
      </c>
      <c r="H227" t="s">
        <v>246</v>
      </c>
    </row>
    <row r="228" spans="1:8" x14ac:dyDescent="0.3">
      <c r="A228">
        <v>1227</v>
      </c>
      <c r="B228" t="s">
        <v>631</v>
      </c>
      <c r="C228" t="s">
        <v>16</v>
      </c>
      <c r="D228">
        <v>42</v>
      </c>
      <c r="E228" t="s">
        <v>13</v>
      </c>
      <c r="F228" t="s">
        <v>14</v>
      </c>
      <c r="G228" t="s">
        <v>742</v>
      </c>
      <c r="H228" t="s">
        <v>247</v>
      </c>
    </row>
    <row r="229" spans="1:8" x14ac:dyDescent="0.3">
      <c r="A229">
        <v>1228</v>
      </c>
      <c r="B229" t="s">
        <v>632</v>
      </c>
      <c r="C229" t="s">
        <v>7</v>
      </c>
      <c r="D229">
        <v>42</v>
      </c>
      <c r="E229" t="s">
        <v>35</v>
      </c>
      <c r="F229" t="s">
        <v>11</v>
      </c>
      <c r="G229" t="s">
        <v>872</v>
      </c>
      <c r="H229" t="s">
        <v>248</v>
      </c>
    </row>
    <row r="230" spans="1:8" x14ac:dyDescent="0.3">
      <c r="A230">
        <v>1229</v>
      </c>
      <c r="B230" t="s">
        <v>633</v>
      </c>
      <c r="C230" t="s">
        <v>16</v>
      </c>
      <c r="D230">
        <v>36</v>
      </c>
      <c r="E230" t="s">
        <v>22</v>
      </c>
      <c r="F230" t="s">
        <v>14</v>
      </c>
      <c r="G230" t="s">
        <v>873</v>
      </c>
      <c r="H230" t="s">
        <v>249</v>
      </c>
    </row>
    <row r="231" spans="1:8" x14ac:dyDescent="0.3">
      <c r="A231">
        <v>1230</v>
      </c>
      <c r="B231" t="s">
        <v>634</v>
      </c>
      <c r="C231" t="s">
        <v>7</v>
      </c>
      <c r="D231">
        <v>33</v>
      </c>
      <c r="E231" t="s">
        <v>28</v>
      </c>
      <c r="F231" t="s">
        <v>14</v>
      </c>
      <c r="G231" t="s">
        <v>753</v>
      </c>
      <c r="H231" t="s">
        <v>250</v>
      </c>
    </row>
    <row r="232" spans="1:8" x14ac:dyDescent="0.3">
      <c r="A232">
        <v>1231</v>
      </c>
      <c r="B232" t="s">
        <v>635</v>
      </c>
      <c r="C232" t="s">
        <v>7</v>
      </c>
      <c r="D232">
        <v>37</v>
      </c>
      <c r="E232" t="s">
        <v>28</v>
      </c>
      <c r="F232" t="s">
        <v>14</v>
      </c>
      <c r="G232" t="s">
        <v>712</v>
      </c>
      <c r="H232" t="s">
        <v>251</v>
      </c>
    </row>
    <row r="233" spans="1:8" x14ac:dyDescent="0.3">
      <c r="A233">
        <v>1232</v>
      </c>
      <c r="B233" t="s">
        <v>636</v>
      </c>
      <c r="C233" t="s">
        <v>16</v>
      </c>
      <c r="D233">
        <v>29</v>
      </c>
      <c r="E233" t="s">
        <v>22</v>
      </c>
      <c r="F233" t="s">
        <v>11</v>
      </c>
      <c r="G233" t="s">
        <v>777</v>
      </c>
      <c r="H233" t="s">
        <v>252</v>
      </c>
    </row>
    <row r="234" spans="1:8" x14ac:dyDescent="0.3">
      <c r="A234">
        <v>1233</v>
      </c>
      <c r="B234" t="s">
        <v>637</v>
      </c>
      <c r="C234" t="s">
        <v>7</v>
      </c>
      <c r="D234">
        <v>65</v>
      </c>
      <c r="E234" t="s">
        <v>49</v>
      </c>
      <c r="F234" t="s">
        <v>20</v>
      </c>
      <c r="G234" t="s">
        <v>735</v>
      </c>
      <c r="H234" t="s">
        <v>253</v>
      </c>
    </row>
    <row r="235" spans="1:8" x14ac:dyDescent="0.3">
      <c r="A235">
        <v>1234</v>
      </c>
      <c r="B235" t="s">
        <v>638</v>
      </c>
      <c r="C235" t="s">
        <v>7</v>
      </c>
      <c r="D235">
        <v>55</v>
      </c>
      <c r="E235" t="s">
        <v>35</v>
      </c>
      <c r="F235" t="s">
        <v>14</v>
      </c>
      <c r="G235" t="s">
        <v>748</v>
      </c>
      <c r="H235" t="s">
        <v>254</v>
      </c>
    </row>
    <row r="236" spans="1:8" x14ac:dyDescent="0.3">
      <c r="A236">
        <v>1235</v>
      </c>
      <c r="B236" t="s">
        <v>639</v>
      </c>
      <c r="C236" t="s">
        <v>7</v>
      </c>
      <c r="D236">
        <v>36</v>
      </c>
      <c r="E236" t="s">
        <v>20</v>
      </c>
      <c r="F236" t="s">
        <v>24</v>
      </c>
      <c r="G236" t="s">
        <v>874</v>
      </c>
      <c r="H236" t="s">
        <v>255</v>
      </c>
    </row>
    <row r="237" spans="1:8" x14ac:dyDescent="0.3">
      <c r="A237">
        <v>1236</v>
      </c>
      <c r="B237" t="s">
        <v>640</v>
      </c>
      <c r="C237" t="s">
        <v>16</v>
      </c>
      <c r="D237">
        <v>60</v>
      </c>
      <c r="E237" t="s">
        <v>20</v>
      </c>
      <c r="F237" t="s">
        <v>14</v>
      </c>
      <c r="G237" t="s">
        <v>724</v>
      </c>
      <c r="H237" t="s">
        <v>256</v>
      </c>
    </row>
    <row r="238" spans="1:8" x14ac:dyDescent="0.3">
      <c r="A238">
        <v>1237</v>
      </c>
      <c r="B238" t="s">
        <v>641</v>
      </c>
      <c r="C238" t="s">
        <v>16</v>
      </c>
      <c r="D238">
        <v>49</v>
      </c>
      <c r="E238" t="s">
        <v>35</v>
      </c>
      <c r="F238" t="s">
        <v>20</v>
      </c>
      <c r="G238" t="s">
        <v>875</v>
      </c>
      <c r="H238" t="s">
        <v>257</v>
      </c>
    </row>
    <row r="239" spans="1:8" x14ac:dyDescent="0.3">
      <c r="A239">
        <v>1238</v>
      </c>
      <c r="B239" t="s">
        <v>642</v>
      </c>
      <c r="C239" t="s">
        <v>7</v>
      </c>
      <c r="D239">
        <v>46</v>
      </c>
      <c r="E239" t="s">
        <v>13</v>
      </c>
      <c r="F239" t="s">
        <v>9</v>
      </c>
      <c r="G239" t="s">
        <v>818</v>
      </c>
      <c r="H239" t="s">
        <v>258</v>
      </c>
    </row>
    <row r="240" spans="1:8" x14ac:dyDescent="0.3">
      <c r="A240">
        <v>1239</v>
      </c>
      <c r="B240" t="s">
        <v>643</v>
      </c>
      <c r="C240" t="s">
        <v>7</v>
      </c>
      <c r="D240">
        <v>32</v>
      </c>
      <c r="E240" t="s">
        <v>13</v>
      </c>
      <c r="F240" t="s">
        <v>18</v>
      </c>
      <c r="G240" t="s">
        <v>780</v>
      </c>
      <c r="H240" t="s">
        <v>259</v>
      </c>
    </row>
    <row r="241" spans="1:8" x14ac:dyDescent="0.3">
      <c r="A241">
        <v>1240</v>
      </c>
      <c r="B241" t="s">
        <v>644</v>
      </c>
      <c r="C241" t="s">
        <v>7</v>
      </c>
      <c r="D241">
        <v>26</v>
      </c>
      <c r="E241" t="s">
        <v>22</v>
      </c>
      <c r="F241" t="s">
        <v>14</v>
      </c>
      <c r="G241" t="s">
        <v>876</v>
      </c>
      <c r="H241" t="s">
        <v>260</v>
      </c>
    </row>
    <row r="242" spans="1:8" x14ac:dyDescent="0.3">
      <c r="A242">
        <v>1241</v>
      </c>
      <c r="B242" t="s">
        <v>645</v>
      </c>
      <c r="C242" t="s">
        <v>16</v>
      </c>
      <c r="D242">
        <v>44</v>
      </c>
      <c r="E242" t="s">
        <v>28</v>
      </c>
      <c r="F242" t="s">
        <v>24</v>
      </c>
      <c r="G242" t="s">
        <v>877</v>
      </c>
      <c r="H242" t="s">
        <v>261</v>
      </c>
    </row>
    <row r="243" spans="1:8" x14ac:dyDescent="0.3">
      <c r="A243">
        <v>1242</v>
      </c>
      <c r="B243" t="s">
        <v>646</v>
      </c>
      <c r="C243" t="s">
        <v>16</v>
      </c>
      <c r="D243">
        <v>23</v>
      </c>
      <c r="E243" t="s">
        <v>8</v>
      </c>
      <c r="F243" t="s">
        <v>24</v>
      </c>
      <c r="G243" t="s">
        <v>878</v>
      </c>
      <c r="H243" t="s">
        <v>262</v>
      </c>
    </row>
    <row r="244" spans="1:8" x14ac:dyDescent="0.3">
      <c r="A244">
        <v>1243</v>
      </c>
      <c r="B244" t="s">
        <v>647</v>
      </c>
      <c r="C244" t="s">
        <v>16</v>
      </c>
      <c r="D244">
        <v>38</v>
      </c>
      <c r="E244" t="s">
        <v>13</v>
      </c>
      <c r="F244" t="s">
        <v>9</v>
      </c>
      <c r="G244" t="s">
        <v>754</v>
      </c>
      <c r="H244" t="s">
        <v>263</v>
      </c>
    </row>
    <row r="245" spans="1:8" x14ac:dyDescent="0.3">
      <c r="A245">
        <v>1244</v>
      </c>
      <c r="B245" t="s">
        <v>648</v>
      </c>
      <c r="C245" t="s">
        <v>16</v>
      </c>
      <c r="D245">
        <v>18</v>
      </c>
      <c r="E245" t="s">
        <v>28</v>
      </c>
      <c r="F245" t="s">
        <v>20</v>
      </c>
      <c r="G245" t="s">
        <v>711</v>
      </c>
      <c r="H245" t="s">
        <v>264</v>
      </c>
    </row>
    <row r="246" spans="1:8" x14ac:dyDescent="0.3">
      <c r="A246">
        <v>1245</v>
      </c>
      <c r="B246" t="s">
        <v>649</v>
      </c>
      <c r="C246" t="s">
        <v>16</v>
      </c>
      <c r="D246">
        <v>61</v>
      </c>
      <c r="E246" t="s">
        <v>28</v>
      </c>
      <c r="F246" t="s">
        <v>24</v>
      </c>
      <c r="G246" t="s">
        <v>879</v>
      </c>
      <c r="H246" t="s">
        <v>265</v>
      </c>
    </row>
    <row r="247" spans="1:8" x14ac:dyDescent="0.3">
      <c r="A247">
        <v>1246</v>
      </c>
      <c r="B247" t="s">
        <v>650</v>
      </c>
      <c r="C247" t="s">
        <v>7</v>
      </c>
      <c r="D247">
        <v>18</v>
      </c>
      <c r="E247" t="s">
        <v>49</v>
      </c>
      <c r="F247" t="s">
        <v>18</v>
      </c>
      <c r="G247" t="s">
        <v>880</v>
      </c>
      <c r="H247" t="s">
        <v>266</v>
      </c>
    </row>
    <row r="248" spans="1:8" x14ac:dyDescent="0.3">
      <c r="A248">
        <v>1247</v>
      </c>
      <c r="B248" t="s">
        <v>911</v>
      </c>
      <c r="C248" t="s">
        <v>7</v>
      </c>
      <c r="D248">
        <v>61</v>
      </c>
      <c r="E248" t="s">
        <v>20</v>
      </c>
      <c r="F248" t="s">
        <v>11</v>
      </c>
      <c r="G248" t="s">
        <v>881</v>
      </c>
      <c r="H248" t="s">
        <v>267</v>
      </c>
    </row>
    <row r="249" spans="1:8" x14ac:dyDescent="0.3">
      <c r="A249">
        <v>1248</v>
      </c>
      <c r="B249" t="s">
        <v>651</v>
      </c>
      <c r="C249" t="s">
        <v>16</v>
      </c>
      <c r="D249">
        <v>18</v>
      </c>
      <c r="E249" t="s">
        <v>8</v>
      </c>
      <c r="F249" t="s">
        <v>20</v>
      </c>
      <c r="G249" t="s">
        <v>882</v>
      </c>
      <c r="H249" t="s">
        <v>268</v>
      </c>
    </row>
    <row r="250" spans="1:8" x14ac:dyDescent="0.3">
      <c r="A250">
        <v>1249</v>
      </c>
      <c r="B250" t="s">
        <v>652</v>
      </c>
      <c r="C250" t="s">
        <v>7</v>
      </c>
      <c r="D250">
        <v>22</v>
      </c>
      <c r="E250" t="s">
        <v>8</v>
      </c>
      <c r="F250" t="s">
        <v>24</v>
      </c>
      <c r="G250" t="s">
        <v>780</v>
      </c>
      <c r="H250" t="s">
        <v>269</v>
      </c>
    </row>
    <row r="251" spans="1:8" x14ac:dyDescent="0.3">
      <c r="A251">
        <v>1250</v>
      </c>
      <c r="B251" t="s">
        <v>653</v>
      </c>
      <c r="C251" t="s">
        <v>16</v>
      </c>
      <c r="D251">
        <v>27</v>
      </c>
      <c r="E251" t="s">
        <v>13</v>
      </c>
      <c r="F251" t="s">
        <v>14</v>
      </c>
      <c r="G251" t="s">
        <v>777</v>
      </c>
      <c r="H251" t="s">
        <v>270</v>
      </c>
    </row>
    <row r="252" spans="1:8" x14ac:dyDescent="0.3">
      <c r="A252">
        <v>1251</v>
      </c>
      <c r="B252" t="s">
        <v>654</v>
      </c>
      <c r="C252" t="s">
        <v>16</v>
      </c>
      <c r="D252">
        <v>20</v>
      </c>
      <c r="E252" t="s">
        <v>28</v>
      </c>
      <c r="F252" t="s">
        <v>20</v>
      </c>
      <c r="G252" t="s">
        <v>755</v>
      </c>
      <c r="H252" t="s">
        <v>271</v>
      </c>
    </row>
    <row r="253" spans="1:8" x14ac:dyDescent="0.3">
      <c r="A253">
        <v>1252</v>
      </c>
      <c r="B253" t="s">
        <v>655</v>
      </c>
      <c r="C253" t="s">
        <v>16</v>
      </c>
      <c r="D253">
        <v>41</v>
      </c>
      <c r="E253" t="s">
        <v>8</v>
      </c>
      <c r="F253" t="s">
        <v>14</v>
      </c>
      <c r="G253" t="s">
        <v>883</v>
      </c>
      <c r="H253" t="s">
        <v>272</v>
      </c>
    </row>
    <row r="254" spans="1:8" x14ac:dyDescent="0.3">
      <c r="A254">
        <v>1253</v>
      </c>
      <c r="B254" t="s">
        <v>656</v>
      </c>
      <c r="C254" t="s">
        <v>7</v>
      </c>
      <c r="D254">
        <v>40</v>
      </c>
      <c r="E254" t="s">
        <v>49</v>
      </c>
      <c r="F254" t="s">
        <v>24</v>
      </c>
      <c r="G254" t="s">
        <v>822</v>
      </c>
      <c r="H254" t="s">
        <v>273</v>
      </c>
    </row>
    <row r="255" spans="1:8" x14ac:dyDescent="0.3">
      <c r="A255">
        <v>1254</v>
      </c>
      <c r="B255" t="s">
        <v>657</v>
      </c>
      <c r="C255" t="s">
        <v>16</v>
      </c>
      <c r="D255">
        <v>49</v>
      </c>
      <c r="E255" t="s">
        <v>22</v>
      </c>
      <c r="F255" t="s">
        <v>11</v>
      </c>
      <c r="G255" t="s">
        <v>735</v>
      </c>
      <c r="H255" t="s">
        <v>274</v>
      </c>
    </row>
    <row r="256" spans="1:8" x14ac:dyDescent="0.3">
      <c r="A256">
        <v>1255</v>
      </c>
      <c r="B256" t="s">
        <v>658</v>
      </c>
      <c r="C256" t="s">
        <v>7</v>
      </c>
      <c r="D256">
        <v>48</v>
      </c>
      <c r="E256" t="s">
        <v>8</v>
      </c>
      <c r="F256" t="s">
        <v>24</v>
      </c>
      <c r="G256" t="s">
        <v>884</v>
      </c>
      <c r="H256" t="s">
        <v>275</v>
      </c>
    </row>
    <row r="257" spans="1:8" x14ac:dyDescent="0.3">
      <c r="A257">
        <v>1256</v>
      </c>
      <c r="B257" t="s">
        <v>659</v>
      </c>
      <c r="C257" t="s">
        <v>16</v>
      </c>
      <c r="D257">
        <v>18</v>
      </c>
      <c r="E257" t="s">
        <v>49</v>
      </c>
      <c r="F257" t="s">
        <v>11</v>
      </c>
      <c r="G257" t="s">
        <v>885</v>
      </c>
      <c r="H257" t="s">
        <v>276</v>
      </c>
    </row>
    <row r="258" spans="1:8" x14ac:dyDescent="0.3">
      <c r="A258">
        <v>1257</v>
      </c>
      <c r="B258" t="s">
        <v>660</v>
      </c>
      <c r="C258" t="s">
        <v>7</v>
      </c>
      <c r="D258">
        <v>57</v>
      </c>
      <c r="E258" t="s">
        <v>20</v>
      </c>
      <c r="F258" t="s">
        <v>11</v>
      </c>
      <c r="G258" t="s">
        <v>886</v>
      </c>
      <c r="H258" t="s">
        <v>277</v>
      </c>
    </row>
    <row r="259" spans="1:8" x14ac:dyDescent="0.3">
      <c r="A259">
        <v>1258</v>
      </c>
      <c r="B259" t="s">
        <v>661</v>
      </c>
      <c r="C259" t="s">
        <v>16</v>
      </c>
      <c r="D259">
        <v>39</v>
      </c>
      <c r="E259" t="s">
        <v>20</v>
      </c>
      <c r="F259" t="s">
        <v>11</v>
      </c>
      <c r="G259" t="s">
        <v>887</v>
      </c>
      <c r="H259" t="s">
        <v>278</v>
      </c>
    </row>
    <row r="260" spans="1:8" x14ac:dyDescent="0.3">
      <c r="A260">
        <v>1259</v>
      </c>
      <c r="B260" t="s">
        <v>662</v>
      </c>
      <c r="C260" t="s">
        <v>7</v>
      </c>
      <c r="D260">
        <v>63</v>
      </c>
      <c r="E260" t="s">
        <v>8</v>
      </c>
      <c r="F260" t="s">
        <v>20</v>
      </c>
      <c r="G260" t="s">
        <v>777</v>
      </c>
      <c r="H260" t="s">
        <v>279</v>
      </c>
    </row>
    <row r="261" spans="1:8" x14ac:dyDescent="0.3">
      <c r="A261">
        <v>1260</v>
      </c>
      <c r="B261" t="s">
        <v>663</v>
      </c>
      <c r="C261" t="s">
        <v>7</v>
      </c>
      <c r="D261">
        <v>40</v>
      </c>
      <c r="E261" t="s">
        <v>28</v>
      </c>
      <c r="F261" t="s">
        <v>24</v>
      </c>
      <c r="G261" t="s">
        <v>888</v>
      </c>
      <c r="H261" t="s">
        <v>280</v>
      </c>
    </row>
    <row r="262" spans="1:8" x14ac:dyDescent="0.3">
      <c r="A262">
        <v>1261</v>
      </c>
      <c r="B262" t="s">
        <v>912</v>
      </c>
      <c r="C262" t="s">
        <v>16</v>
      </c>
      <c r="D262">
        <v>26</v>
      </c>
      <c r="E262" t="s">
        <v>28</v>
      </c>
      <c r="F262" t="s">
        <v>9</v>
      </c>
      <c r="G262" t="s">
        <v>889</v>
      </c>
      <c r="H262" t="s">
        <v>281</v>
      </c>
    </row>
    <row r="263" spans="1:8" x14ac:dyDescent="0.3">
      <c r="A263">
        <v>1262</v>
      </c>
      <c r="B263" t="s">
        <v>913</v>
      </c>
      <c r="C263" t="s">
        <v>16</v>
      </c>
      <c r="D263">
        <v>27</v>
      </c>
      <c r="E263" t="s">
        <v>28</v>
      </c>
      <c r="F263" t="s">
        <v>14</v>
      </c>
      <c r="G263" t="s">
        <v>756</v>
      </c>
      <c r="H263" t="s">
        <v>282</v>
      </c>
    </row>
    <row r="264" spans="1:8" x14ac:dyDescent="0.3">
      <c r="A264">
        <v>1263</v>
      </c>
      <c r="B264" t="s">
        <v>664</v>
      </c>
      <c r="C264" t="s">
        <v>16</v>
      </c>
      <c r="D264">
        <v>38</v>
      </c>
      <c r="E264" t="s">
        <v>35</v>
      </c>
      <c r="F264" t="s">
        <v>14</v>
      </c>
      <c r="G264" t="s">
        <v>890</v>
      </c>
      <c r="H264" t="s">
        <v>283</v>
      </c>
    </row>
    <row r="265" spans="1:8" x14ac:dyDescent="0.3">
      <c r="A265">
        <v>1264</v>
      </c>
      <c r="B265" t="s">
        <v>665</v>
      </c>
      <c r="C265" t="s">
        <v>16</v>
      </c>
      <c r="D265">
        <v>41</v>
      </c>
      <c r="E265" t="s">
        <v>8</v>
      </c>
      <c r="F265" t="s">
        <v>9</v>
      </c>
      <c r="G265" t="s">
        <v>742</v>
      </c>
      <c r="H265" t="s">
        <v>284</v>
      </c>
    </row>
    <row r="266" spans="1:8" x14ac:dyDescent="0.3">
      <c r="A266">
        <v>1265</v>
      </c>
      <c r="B266" t="s">
        <v>666</v>
      </c>
      <c r="C266" t="s">
        <v>7</v>
      </c>
      <c r="D266">
        <v>30</v>
      </c>
      <c r="E266" t="s">
        <v>8</v>
      </c>
      <c r="F266" t="s">
        <v>9</v>
      </c>
      <c r="G266" t="s">
        <v>720</v>
      </c>
      <c r="H266" t="s">
        <v>285</v>
      </c>
    </row>
    <row r="267" spans="1:8" x14ac:dyDescent="0.3">
      <c r="A267">
        <v>1266</v>
      </c>
      <c r="B267" t="s">
        <v>667</v>
      </c>
      <c r="C267" t="s">
        <v>16</v>
      </c>
      <c r="D267">
        <v>48</v>
      </c>
      <c r="E267" t="s">
        <v>20</v>
      </c>
      <c r="F267" t="s">
        <v>14</v>
      </c>
      <c r="G267" t="s">
        <v>891</v>
      </c>
      <c r="H267" t="s">
        <v>286</v>
      </c>
    </row>
    <row r="268" spans="1:8" x14ac:dyDescent="0.3">
      <c r="A268">
        <v>1267</v>
      </c>
      <c r="B268" t="s">
        <v>668</v>
      </c>
      <c r="C268" t="s">
        <v>16</v>
      </c>
      <c r="D268">
        <v>55</v>
      </c>
      <c r="E268" t="s">
        <v>8</v>
      </c>
      <c r="F268" t="s">
        <v>24</v>
      </c>
      <c r="G268" t="s">
        <v>805</v>
      </c>
      <c r="H268" t="s">
        <v>287</v>
      </c>
    </row>
    <row r="269" spans="1:8" x14ac:dyDescent="0.3">
      <c r="A269">
        <v>1268</v>
      </c>
      <c r="B269" t="s">
        <v>669</v>
      </c>
      <c r="C269" t="s">
        <v>7</v>
      </c>
      <c r="D269">
        <v>51</v>
      </c>
      <c r="E269" t="s">
        <v>20</v>
      </c>
      <c r="F269" t="s">
        <v>14</v>
      </c>
      <c r="G269" t="s">
        <v>892</v>
      </c>
      <c r="H269" t="s">
        <v>288</v>
      </c>
    </row>
    <row r="270" spans="1:8" x14ac:dyDescent="0.3">
      <c r="A270">
        <v>1269</v>
      </c>
      <c r="B270" t="s">
        <v>670</v>
      </c>
      <c r="C270" t="s">
        <v>16</v>
      </c>
      <c r="D270">
        <v>33</v>
      </c>
      <c r="E270" t="s">
        <v>35</v>
      </c>
      <c r="F270" t="s">
        <v>18</v>
      </c>
      <c r="G270" t="s">
        <v>893</v>
      </c>
      <c r="H270" t="s">
        <v>289</v>
      </c>
    </row>
    <row r="271" spans="1:8" x14ac:dyDescent="0.3">
      <c r="A271">
        <v>1270</v>
      </c>
      <c r="B271" t="s">
        <v>671</v>
      </c>
      <c r="C271" t="s">
        <v>7</v>
      </c>
      <c r="D271">
        <v>45</v>
      </c>
      <c r="E271" t="s">
        <v>22</v>
      </c>
      <c r="F271" t="s">
        <v>9</v>
      </c>
      <c r="G271" t="s">
        <v>894</v>
      </c>
      <c r="H271" t="s">
        <v>290</v>
      </c>
    </row>
    <row r="272" spans="1:8" x14ac:dyDescent="0.3">
      <c r="A272">
        <v>1271</v>
      </c>
      <c r="B272" t="s">
        <v>672</v>
      </c>
      <c r="C272" t="s">
        <v>16</v>
      </c>
      <c r="D272">
        <v>41</v>
      </c>
      <c r="E272" t="s">
        <v>49</v>
      </c>
      <c r="F272" t="s">
        <v>18</v>
      </c>
      <c r="G272" t="s">
        <v>895</v>
      </c>
      <c r="H272" t="s">
        <v>291</v>
      </c>
    </row>
    <row r="273" spans="1:8" x14ac:dyDescent="0.3">
      <c r="A273">
        <v>1272</v>
      </c>
      <c r="B273" t="s">
        <v>673</v>
      </c>
      <c r="C273" t="s">
        <v>7</v>
      </c>
      <c r="D273">
        <v>39</v>
      </c>
      <c r="E273" t="s">
        <v>35</v>
      </c>
      <c r="F273" t="s">
        <v>20</v>
      </c>
      <c r="G273" t="s">
        <v>896</v>
      </c>
      <c r="H273" t="s">
        <v>292</v>
      </c>
    </row>
    <row r="274" spans="1:8" x14ac:dyDescent="0.3">
      <c r="A274">
        <v>1273</v>
      </c>
      <c r="B274" t="s">
        <v>674</v>
      </c>
      <c r="C274" t="s">
        <v>16</v>
      </c>
      <c r="D274">
        <v>47</v>
      </c>
      <c r="E274" t="s">
        <v>22</v>
      </c>
      <c r="F274" t="s">
        <v>18</v>
      </c>
      <c r="G274" t="s">
        <v>725</v>
      </c>
      <c r="H274" t="s">
        <v>293</v>
      </c>
    </row>
    <row r="275" spans="1:8" x14ac:dyDescent="0.3">
      <c r="A275">
        <v>1274</v>
      </c>
      <c r="B275" t="s">
        <v>675</v>
      </c>
      <c r="C275" t="s">
        <v>16</v>
      </c>
      <c r="D275">
        <v>40</v>
      </c>
      <c r="E275" t="s">
        <v>8</v>
      </c>
      <c r="F275" t="s">
        <v>18</v>
      </c>
      <c r="G275" t="s">
        <v>706</v>
      </c>
      <c r="H275" t="s">
        <v>294</v>
      </c>
    </row>
    <row r="276" spans="1:8" x14ac:dyDescent="0.3">
      <c r="A276">
        <v>1275</v>
      </c>
      <c r="B276" t="s">
        <v>676</v>
      </c>
      <c r="C276" t="s">
        <v>16</v>
      </c>
      <c r="D276">
        <v>43</v>
      </c>
      <c r="E276" t="s">
        <v>28</v>
      </c>
      <c r="F276" t="s">
        <v>20</v>
      </c>
      <c r="G276" t="s">
        <v>897</v>
      </c>
      <c r="H276" t="s">
        <v>295</v>
      </c>
    </row>
    <row r="277" spans="1:8" x14ac:dyDescent="0.3">
      <c r="A277">
        <v>1276</v>
      </c>
      <c r="B277" t="s">
        <v>677</v>
      </c>
      <c r="C277" t="s">
        <v>16</v>
      </c>
      <c r="D277">
        <v>42</v>
      </c>
      <c r="E277" t="s">
        <v>8</v>
      </c>
      <c r="F277" t="s">
        <v>14</v>
      </c>
      <c r="G277" t="s">
        <v>898</v>
      </c>
      <c r="H277" t="s">
        <v>296</v>
      </c>
    </row>
    <row r="278" spans="1:8" x14ac:dyDescent="0.3">
      <c r="A278">
        <v>1277</v>
      </c>
      <c r="B278" t="s">
        <v>678</v>
      </c>
      <c r="C278" t="s">
        <v>7</v>
      </c>
      <c r="D278">
        <v>55</v>
      </c>
      <c r="E278" t="s">
        <v>28</v>
      </c>
      <c r="F278" t="s">
        <v>9</v>
      </c>
      <c r="G278" t="s">
        <v>738</v>
      </c>
      <c r="H278" t="s">
        <v>297</v>
      </c>
    </row>
    <row r="279" spans="1:8" x14ac:dyDescent="0.3">
      <c r="A279">
        <v>1278</v>
      </c>
      <c r="B279" t="s">
        <v>679</v>
      </c>
      <c r="C279" t="s">
        <v>7</v>
      </c>
      <c r="D279">
        <v>21</v>
      </c>
      <c r="E279" t="s">
        <v>35</v>
      </c>
      <c r="F279" t="s">
        <v>20</v>
      </c>
      <c r="G279" t="s">
        <v>757</v>
      </c>
      <c r="H279" t="s">
        <v>298</v>
      </c>
    </row>
    <row r="280" spans="1:8" x14ac:dyDescent="0.3">
      <c r="A280">
        <v>1279</v>
      </c>
      <c r="B280" t="s">
        <v>680</v>
      </c>
      <c r="C280" t="s">
        <v>16</v>
      </c>
      <c r="D280">
        <v>52</v>
      </c>
      <c r="E280" t="s">
        <v>20</v>
      </c>
      <c r="F280" t="s">
        <v>18</v>
      </c>
      <c r="G280" t="s">
        <v>899</v>
      </c>
      <c r="H280" t="s">
        <v>299</v>
      </c>
    </row>
    <row r="281" spans="1:8" x14ac:dyDescent="0.3">
      <c r="A281">
        <v>1280</v>
      </c>
      <c r="B281" t="s">
        <v>681</v>
      </c>
      <c r="C281" t="s">
        <v>16</v>
      </c>
      <c r="D281">
        <v>22</v>
      </c>
      <c r="E281" t="s">
        <v>8</v>
      </c>
      <c r="F281" t="s">
        <v>14</v>
      </c>
      <c r="G281" t="s">
        <v>900</v>
      </c>
      <c r="H281" t="s">
        <v>300</v>
      </c>
    </row>
    <row r="282" spans="1:8" x14ac:dyDescent="0.3">
      <c r="A282">
        <v>1281</v>
      </c>
      <c r="B282" t="s">
        <v>682</v>
      </c>
      <c r="C282" t="s">
        <v>7</v>
      </c>
      <c r="D282">
        <v>41</v>
      </c>
      <c r="E282" t="s">
        <v>8</v>
      </c>
      <c r="F282" t="s">
        <v>18</v>
      </c>
      <c r="G282" t="s">
        <v>758</v>
      </c>
      <c r="H282" t="s">
        <v>301</v>
      </c>
    </row>
    <row r="283" spans="1:8" x14ac:dyDescent="0.3">
      <c r="A283">
        <v>1282</v>
      </c>
      <c r="B283" t="s">
        <v>683</v>
      </c>
      <c r="C283" t="s">
        <v>16</v>
      </c>
      <c r="D283">
        <v>50</v>
      </c>
      <c r="E283" t="s">
        <v>35</v>
      </c>
      <c r="F283" t="s">
        <v>18</v>
      </c>
      <c r="G283" t="s">
        <v>901</v>
      </c>
      <c r="H283" t="s">
        <v>302</v>
      </c>
    </row>
    <row r="284" spans="1:8" x14ac:dyDescent="0.3">
      <c r="A284">
        <v>1283</v>
      </c>
      <c r="B284" t="s">
        <v>684</v>
      </c>
      <c r="C284" t="s">
        <v>16</v>
      </c>
      <c r="D284">
        <v>62</v>
      </c>
      <c r="E284" t="s">
        <v>13</v>
      </c>
      <c r="F284" t="s">
        <v>18</v>
      </c>
      <c r="G284" t="s">
        <v>706</v>
      </c>
      <c r="H284" t="s">
        <v>303</v>
      </c>
    </row>
    <row r="285" spans="1:8" x14ac:dyDescent="0.3">
      <c r="A285">
        <v>1284</v>
      </c>
      <c r="B285" t="s">
        <v>685</v>
      </c>
      <c r="C285" t="s">
        <v>16</v>
      </c>
      <c r="D285">
        <v>22</v>
      </c>
      <c r="E285" t="s">
        <v>22</v>
      </c>
      <c r="F285" t="s">
        <v>18</v>
      </c>
      <c r="G285" t="s">
        <v>902</v>
      </c>
      <c r="H285" t="s">
        <v>304</v>
      </c>
    </row>
    <row r="286" spans="1:8" x14ac:dyDescent="0.3">
      <c r="A286">
        <v>1285</v>
      </c>
      <c r="B286" t="s">
        <v>686</v>
      </c>
      <c r="C286" t="s">
        <v>16</v>
      </c>
      <c r="D286">
        <v>47</v>
      </c>
      <c r="E286" t="s">
        <v>20</v>
      </c>
      <c r="F286" t="s">
        <v>24</v>
      </c>
      <c r="G286" t="s">
        <v>715</v>
      </c>
      <c r="H286" t="s">
        <v>305</v>
      </c>
    </row>
    <row r="287" spans="1:8" x14ac:dyDescent="0.3">
      <c r="A287">
        <v>1286</v>
      </c>
      <c r="B287" t="s">
        <v>687</v>
      </c>
      <c r="C287" t="s">
        <v>16</v>
      </c>
      <c r="D287">
        <v>33</v>
      </c>
      <c r="E287" t="s">
        <v>8</v>
      </c>
      <c r="F287" t="s">
        <v>11</v>
      </c>
      <c r="G287" t="s">
        <v>725</v>
      </c>
      <c r="H287" t="s">
        <v>306</v>
      </c>
    </row>
    <row r="288" spans="1:8" x14ac:dyDescent="0.3">
      <c r="A288">
        <v>1287</v>
      </c>
      <c r="B288" t="s">
        <v>688</v>
      </c>
      <c r="C288" t="s">
        <v>16</v>
      </c>
      <c r="D288">
        <v>29</v>
      </c>
      <c r="E288" t="s">
        <v>22</v>
      </c>
      <c r="F288" t="s">
        <v>11</v>
      </c>
      <c r="G288" t="s">
        <v>903</v>
      </c>
      <c r="H288" t="s">
        <v>307</v>
      </c>
    </row>
    <row r="289" spans="1:8" x14ac:dyDescent="0.3">
      <c r="A289">
        <v>1288</v>
      </c>
      <c r="B289" t="s">
        <v>689</v>
      </c>
      <c r="C289" t="s">
        <v>7</v>
      </c>
      <c r="D289">
        <v>25</v>
      </c>
      <c r="E289" t="s">
        <v>28</v>
      </c>
      <c r="F289" t="s">
        <v>14</v>
      </c>
      <c r="G289" t="s">
        <v>759</v>
      </c>
      <c r="H289" t="s">
        <v>308</v>
      </c>
    </row>
    <row r="290" spans="1:8" x14ac:dyDescent="0.3">
      <c r="A290">
        <v>1289</v>
      </c>
      <c r="B290" t="s">
        <v>690</v>
      </c>
      <c r="C290" t="s">
        <v>16</v>
      </c>
      <c r="D290">
        <v>22</v>
      </c>
      <c r="E290" t="s">
        <v>20</v>
      </c>
      <c r="F290" t="s">
        <v>24</v>
      </c>
      <c r="G290" t="s">
        <v>904</v>
      </c>
      <c r="H290" t="s">
        <v>309</v>
      </c>
    </row>
    <row r="291" spans="1:8" x14ac:dyDescent="0.3">
      <c r="A291">
        <v>1290</v>
      </c>
      <c r="B291" t="s">
        <v>691</v>
      </c>
      <c r="C291" t="s">
        <v>16</v>
      </c>
      <c r="D291">
        <v>19</v>
      </c>
      <c r="E291" t="s">
        <v>13</v>
      </c>
      <c r="F291" t="s">
        <v>14</v>
      </c>
      <c r="G291" t="s">
        <v>905</v>
      </c>
      <c r="H291" t="s">
        <v>310</v>
      </c>
    </row>
    <row r="292" spans="1:8" x14ac:dyDescent="0.3">
      <c r="A292">
        <v>1291</v>
      </c>
      <c r="B292" t="s">
        <v>692</v>
      </c>
      <c r="C292" t="s">
        <v>16</v>
      </c>
      <c r="D292">
        <v>45</v>
      </c>
      <c r="E292" t="s">
        <v>22</v>
      </c>
      <c r="F292" t="s">
        <v>20</v>
      </c>
      <c r="G292" t="s">
        <v>906</v>
      </c>
      <c r="H292" t="s">
        <v>311</v>
      </c>
    </row>
    <row r="293" spans="1:8" x14ac:dyDescent="0.3">
      <c r="A293">
        <v>1292</v>
      </c>
      <c r="B293" t="s">
        <v>693</v>
      </c>
      <c r="C293" t="s">
        <v>7</v>
      </c>
      <c r="D293">
        <v>19</v>
      </c>
      <c r="E293" t="s">
        <v>8</v>
      </c>
      <c r="F293" t="s">
        <v>20</v>
      </c>
      <c r="G293" t="s">
        <v>838</v>
      </c>
      <c r="H293" t="s">
        <v>312</v>
      </c>
    </row>
    <row r="294" spans="1:8" x14ac:dyDescent="0.3">
      <c r="A294">
        <v>1293</v>
      </c>
      <c r="B294" t="s">
        <v>694</v>
      </c>
      <c r="C294" t="s">
        <v>16</v>
      </c>
      <c r="D294">
        <v>33</v>
      </c>
      <c r="E294" t="s">
        <v>28</v>
      </c>
      <c r="F294" t="s">
        <v>24</v>
      </c>
      <c r="G294" t="s">
        <v>907</v>
      </c>
      <c r="H294" t="s">
        <v>313</v>
      </c>
    </row>
    <row r="295" spans="1:8" x14ac:dyDescent="0.3">
      <c r="A295">
        <v>1294</v>
      </c>
      <c r="B295" t="s">
        <v>695</v>
      </c>
      <c r="C295" t="s">
        <v>7</v>
      </c>
      <c r="D295">
        <v>36</v>
      </c>
      <c r="E295" t="s">
        <v>35</v>
      </c>
      <c r="F295" t="s">
        <v>11</v>
      </c>
      <c r="G295" t="s">
        <v>760</v>
      </c>
      <c r="H295" t="s">
        <v>314</v>
      </c>
    </row>
    <row r="296" spans="1:8" x14ac:dyDescent="0.3">
      <c r="A296">
        <v>1295</v>
      </c>
      <c r="B296" t="s">
        <v>696</v>
      </c>
      <c r="C296" t="s">
        <v>7</v>
      </c>
      <c r="D296">
        <v>34</v>
      </c>
      <c r="E296" t="s">
        <v>8</v>
      </c>
      <c r="F296" t="s">
        <v>14</v>
      </c>
      <c r="G296" t="s">
        <v>895</v>
      </c>
      <c r="H296" t="s">
        <v>315</v>
      </c>
    </row>
    <row r="297" spans="1:8" x14ac:dyDescent="0.3">
      <c r="A297">
        <v>1296</v>
      </c>
      <c r="B297" t="s">
        <v>697</v>
      </c>
      <c r="C297" t="s">
        <v>7</v>
      </c>
      <c r="D297">
        <v>40</v>
      </c>
      <c r="E297" t="s">
        <v>22</v>
      </c>
      <c r="F297" t="s">
        <v>9</v>
      </c>
      <c r="G297" t="s">
        <v>780</v>
      </c>
      <c r="H297" t="s">
        <v>316</v>
      </c>
    </row>
    <row r="298" spans="1:8" x14ac:dyDescent="0.3">
      <c r="A298">
        <v>1297</v>
      </c>
      <c r="B298" t="s">
        <v>698</v>
      </c>
      <c r="C298" t="s">
        <v>16</v>
      </c>
      <c r="D298">
        <v>19</v>
      </c>
      <c r="E298" t="s">
        <v>22</v>
      </c>
      <c r="F298" t="s">
        <v>18</v>
      </c>
      <c r="G298" t="s">
        <v>761</v>
      </c>
      <c r="H298" t="s">
        <v>317</v>
      </c>
    </row>
    <row r="299" spans="1:8" x14ac:dyDescent="0.3">
      <c r="A299">
        <v>1298</v>
      </c>
      <c r="B299" t="s">
        <v>699</v>
      </c>
      <c r="C299" t="s">
        <v>16</v>
      </c>
      <c r="D299">
        <v>50</v>
      </c>
      <c r="E299" t="s">
        <v>13</v>
      </c>
      <c r="F299" t="s">
        <v>20</v>
      </c>
      <c r="G299" t="s">
        <v>908</v>
      </c>
      <c r="H299" t="s">
        <v>318</v>
      </c>
    </row>
    <row r="300" spans="1:8" x14ac:dyDescent="0.3">
      <c r="A300">
        <v>1299</v>
      </c>
      <c r="B300" t="s">
        <v>700</v>
      </c>
      <c r="C300" t="s">
        <v>16</v>
      </c>
      <c r="D300">
        <v>29</v>
      </c>
      <c r="E300" t="s">
        <v>22</v>
      </c>
      <c r="F300" t="s">
        <v>24</v>
      </c>
      <c r="G300" t="s">
        <v>909</v>
      </c>
      <c r="H300" t="s">
        <v>319</v>
      </c>
    </row>
    <row r="301" spans="1:8" x14ac:dyDescent="0.3">
      <c r="A301">
        <v>1300</v>
      </c>
      <c r="B301" t="s">
        <v>701</v>
      </c>
      <c r="C301" t="s">
        <v>7</v>
      </c>
      <c r="D301">
        <v>24</v>
      </c>
      <c r="E301" t="s">
        <v>22</v>
      </c>
      <c r="F301" t="s">
        <v>11</v>
      </c>
      <c r="G301" t="s">
        <v>910</v>
      </c>
      <c r="H301" t="s">
        <v>320</v>
      </c>
    </row>
  </sheetData>
  <hyperlinks>
    <hyperlink ref="G2" r:id="rId1" xr:uid="{8D6B1C5B-4B8C-429C-9FF6-92A8F9226C1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defaultRowHeight="14.4" x14ac:dyDescent="0.3"/>
  <cols>
    <col min="1" max="1" width="10.6640625" customWidth="1"/>
    <col min="2" max="2" width="13.33203125" customWidth="1"/>
    <col min="3" max="3" width="13.6640625" customWidth="1"/>
    <col min="4" max="4" width="15.33203125" customWidth="1"/>
  </cols>
  <sheetData>
    <row r="1" spans="1:4" x14ac:dyDescent="0.3">
      <c r="A1" s="1" t="s">
        <v>358</v>
      </c>
      <c r="B1" s="1" t="s">
        <v>359</v>
      </c>
      <c r="C1" s="1" t="s">
        <v>3</v>
      </c>
      <c r="D1" s="1" t="s">
        <v>4</v>
      </c>
    </row>
    <row r="2" spans="1:4" x14ac:dyDescent="0.3">
      <c r="A2">
        <v>3001</v>
      </c>
      <c r="B2" t="s">
        <v>360</v>
      </c>
      <c r="C2" t="s">
        <v>49</v>
      </c>
      <c r="D2" t="s">
        <v>20</v>
      </c>
    </row>
    <row r="3" spans="1:4" x14ac:dyDescent="0.3">
      <c r="A3">
        <v>3002</v>
      </c>
      <c r="B3" t="s">
        <v>361</v>
      </c>
      <c r="C3" t="s">
        <v>35</v>
      </c>
      <c r="D3" t="s">
        <v>14</v>
      </c>
    </row>
    <row r="4" spans="1:4" x14ac:dyDescent="0.3">
      <c r="A4">
        <v>3003</v>
      </c>
      <c r="B4" t="s">
        <v>362</v>
      </c>
      <c r="C4" t="s">
        <v>363</v>
      </c>
      <c r="D4" t="s">
        <v>364</v>
      </c>
    </row>
    <row r="5" spans="1:4" x14ac:dyDescent="0.3">
      <c r="A5">
        <v>3004</v>
      </c>
      <c r="B5" t="s">
        <v>365</v>
      </c>
      <c r="C5" t="s">
        <v>35</v>
      </c>
      <c r="D5" t="s">
        <v>11</v>
      </c>
    </row>
    <row r="6" spans="1:4" x14ac:dyDescent="0.3">
      <c r="A6">
        <v>3005</v>
      </c>
      <c r="B6" t="s">
        <v>366</v>
      </c>
      <c r="C6" t="s">
        <v>13</v>
      </c>
      <c r="D6" t="s">
        <v>18</v>
      </c>
    </row>
    <row r="7" spans="1:4" x14ac:dyDescent="0.3">
      <c r="A7">
        <v>3006</v>
      </c>
      <c r="B7" t="s">
        <v>367</v>
      </c>
      <c r="C7" t="s">
        <v>49</v>
      </c>
      <c r="D7" t="s">
        <v>364</v>
      </c>
    </row>
    <row r="8" spans="1:4" x14ac:dyDescent="0.3">
      <c r="A8">
        <v>3007</v>
      </c>
      <c r="B8" t="s">
        <v>368</v>
      </c>
      <c r="C8" t="s">
        <v>13</v>
      </c>
      <c r="D8" t="s">
        <v>369</v>
      </c>
    </row>
    <row r="9" spans="1:4" x14ac:dyDescent="0.3">
      <c r="A9">
        <v>3008</v>
      </c>
      <c r="B9" t="s">
        <v>370</v>
      </c>
      <c r="C9" t="s">
        <v>49</v>
      </c>
      <c r="D9" t="s">
        <v>14</v>
      </c>
    </row>
    <row r="10" spans="1:4" x14ac:dyDescent="0.3">
      <c r="A10">
        <v>3009</v>
      </c>
      <c r="B10" t="s">
        <v>371</v>
      </c>
      <c r="C10" t="s">
        <v>372</v>
      </c>
      <c r="D10" t="s">
        <v>369</v>
      </c>
    </row>
    <row r="11" spans="1:4" x14ac:dyDescent="0.3">
      <c r="A11">
        <v>3010</v>
      </c>
      <c r="B11" t="s">
        <v>373</v>
      </c>
      <c r="C11" t="s">
        <v>8</v>
      </c>
      <c r="D11" t="s">
        <v>374</v>
      </c>
    </row>
    <row r="12" spans="1:4" x14ac:dyDescent="0.3">
      <c r="A12">
        <v>3011</v>
      </c>
      <c r="B12" t="s">
        <v>375</v>
      </c>
      <c r="C12" t="s">
        <v>363</v>
      </c>
      <c r="D12" t="s">
        <v>364</v>
      </c>
    </row>
    <row r="13" spans="1:4" x14ac:dyDescent="0.3">
      <c r="A13">
        <v>3012</v>
      </c>
      <c r="B13" t="s">
        <v>376</v>
      </c>
      <c r="C13" t="s">
        <v>8</v>
      </c>
      <c r="D13" t="s">
        <v>9</v>
      </c>
    </row>
    <row r="14" spans="1:4" x14ac:dyDescent="0.3">
      <c r="A14">
        <v>3013</v>
      </c>
      <c r="B14" t="s">
        <v>377</v>
      </c>
      <c r="C14" t="s">
        <v>13</v>
      </c>
      <c r="D14" t="s">
        <v>9</v>
      </c>
    </row>
    <row r="15" spans="1:4" x14ac:dyDescent="0.3">
      <c r="A15">
        <v>3014</v>
      </c>
      <c r="B15" t="s">
        <v>378</v>
      </c>
      <c r="C15" t="s">
        <v>379</v>
      </c>
      <c r="D15" t="s">
        <v>24</v>
      </c>
    </row>
    <row r="16" spans="1:4" x14ac:dyDescent="0.3">
      <c r="A16">
        <v>3015</v>
      </c>
      <c r="B16" t="s">
        <v>380</v>
      </c>
      <c r="C16" t="s">
        <v>28</v>
      </c>
      <c r="D16" t="s">
        <v>369</v>
      </c>
    </row>
    <row r="17" spans="1:4" x14ac:dyDescent="0.3">
      <c r="A17">
        <v>3016</v>
      </c>
      <c r="B17" t="s">
        <v>381</v>
      </c>
      <c r="C17" t="s">
        <v>8</v>
      </c>
      <c r="D17" t="s">
        <v>20</v>
      </c>
    </row>
    <row r="18" spans="1:4" x14ac:dyDescent="0.3">
      <c r="A18">
        <v>3017</v>
      </c>
      <c r="B18" t="s">
        <v>382</v>
      </c>
      <c r="C18" t="s">
        <v>8</v>
      </c>
      <c r="D18" t="s">
        <v>20</v>
      </c>
    </row>
    <row r="19" spans="1:4" x14ac:dyDescent="0.3">
      <c r="A19">
        <v>3018</v>
      </c>
      <c r="B19" t="s">
        <v>383</v>
      </c>
      <c r="C19" t="s">
        <v>49</v>
      </c>
      <c r="D19" t="s">
        <v>369</v>
      </c>
    </row>
    <row r="20" spans="1:4" x14ac:dyDescent="0.3">
      <c r="A20">
        <v>3019</v>
      </c>
      <c r="B20" t="s">
        <v>384</v>
      </c>
      <c r="C20" t="s">
        <v>372</v>
      </c>
      <c r="D20" t="s">
        <v>20</v>
      </c>
    </row>
    <row r="21" spans="1:4" x14ac:dyDescent="0.3">
      <c r="A21">
        <v>3020</v>
      </c>
      <c r="B21" t="s">
        <v>385</v>
      </c>
      <c r="C21" t="s">
        <v>363</v>
      </c>
      <c r="D21" t="s">
        <v>20</v>
      </c>
    </row>
    <row r="22" spans="1:4" x14ac:dyDescent="0.3">
      <c r="A22">
        <v>3021</v>
      </c>
      <c r="B22" t="s">
        <v>386</v>
      </c>
      <c r="C22" t="s">
        <v>13</v>
      </c>
      <c r="D22" t="s">
        <v>11</v>
      </c>
    </row>
    <row r="23" spans="1:4" x14ac:dyDescent="0.3">
      <c r="A23">
        <v>3022</v>
      </c>
      <c r="B23" t="s">
        <v>387</v>
      </c>
      <c r="C23" t="s">
        <v>28</v>
      </c>
      <c r="D23" t="s">
        <v>24</v>
      </c>
    </row>
    <row r="24" spans="1:4" x14ac:dyDescent="0.3">
      <c r="A24">
        <v>3023</v>
      </c>
      <c r="B24" t="s">
        <v>388</v>
      </c>
      <c r="C24" t="s">
        <v>13</v>
      </c>
      <c r="D24" t="s">
        <v>9</v>
      </c>
    </row>
    <row r="25" spans="1:4" x14ac:dyDescent="0.3">
      <c r="A25">
        <v>3024</v>
      </c>
      <c r="B25" t="s">
        <v>389</v>
      </c>
      <c r="C25" t="s">
        <v>20</v>
      </c>
      <c r="D25" t="s">
        <v>14</v>
      </c>
    </row>
    <row r="26" spans="1:4" x14ac:dyDescent="0.3">
      <c r="A26">
        <v>3025</v>
      </c>
      <c r="B26" t="s">
        <v>390</v>
      </c>
      <c r="C26" t="s">
        <v>35</v>
      </c>
      <c r="D26" t="s">
        <v>374</v>
      </c>
    </row>
    <row r="27" spans="1:4" x14ac:dyDescent="0.3">
      <c r="A27">
        <v>3026</v>
      </c>
      <c r="B27" t="s">
        <v>391</v>
      </c>
      <c r="C27" t="s">
        <v>363</v>
      </c>
      <c r="D27" t="s">
        <v>9</v>
      </c>
    </row>
    <row r="28" spans="1:4" x14ac:dyDescent="0.3">
      <c r="A28">
        <v>3027</v>
      </c>
      <c r="B28" t="s">
        <v>392</v>
      </c>
      <c r="C28" t="s">
        <v>35</v>
      </c>
      <c r="D28" t="s">
        <v>369</v>
      </c>
    </row>
    <row r="29" spans="1:4" x14ac:dyDescent="0.3">
      <c r="A29">
        <v>3028</v>
      </c>
      <c r="B29" t="s">
        <v>393</v>
      </c>
      <c r="C29" t="s">
        <v>35</v>
      </c>
      <c r="D29" t="s">
        <v>11</v>
      </c>
    </row>
    <row r="30" spans="1:4" x14ac:dyDescent="0.3">
      <c r="A30">
        <v>3029</v>
      </c>
      <c r="B30" t="s">
        <v>394</v>
      </c>
      <c r="C30" t="s">
        <v>49</v>
      </c>
      <c r="D30" t="s">
        <v>9</v>
      </c>
    </row>
    <row r="31" spans="1:4" x14ac:dyDescent="0.3">
      <c r="A31">
        <v>3030</v>
      </c>
      <c r="B31" t="s">
        <v>395</v>
      </c>
      <c r="C31" t="s">
        <v>20</v>
      </c>
      <c r="D31" t="s">
        <v>20</v>
      </c>
    </row>
    <row r="32" spans="1:4" x14ac:dyDescent="0.3">
      <c r="A32">
        <v>3031</v>
      </c>
      <c r="B32" t="s">
        <v>396</v>
      </c>
      <c r="C32" t="s">
        <v>8</v>
      </c>
      <c r="D32" t="s">
        <v>18</v>
      </c>
    </row>
    <row r="33" spans="1:4" x14ac:dyDescent="0.3">
      <c r="A33">
        <v>3032</v>
      </c>
      <c r="B33" t="s">
        <v>397</v>
      </c>
      <c r="C33" t="s">
        <v>49</v>
      </c>
      <c r="D33" t="s">
        <v>364</v>
      </c>
    </row>
    <row r="34" spans="1:4" x14ac:dyDescent="0.3">
      <c r="A34">
        <v>3033</v>
      </c>
      <c r="B34" t="s">
        <v>398</v>
      </c>
      <c r="C34" t="s">
        <v>35</v>
      </c>
      <c r="D34" t="s">
        <v>14</v>
      </c>
    </row>
    <row r="35" spans="1:4" x14ac:dyDescent="0.3">
      <c r="A35">
        <v>3034</v>
      </c>
      <c r="B35" t="s">
        <v>399</v>
      </c>
      <c r="C35" t="s">
        <v>379</v>
      </c>
      <c r="D35" t="s">
        <v>369</v>
      </c>
    </row>
    <row r="36" spans="1:4" x14ac:dyDescent="0.3">
      <c r="A36">
        <v>3035</v>
      </c>
      <c r="B36" t="s">
        <v>400</v>
      </c>
      <c r="C36" t="s">
        <v>20</v>
      </c>
      <c r="D3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selection activeCell="D1" activeCellId="2" sqref="B1:B1048576 C1:C1048576 D1:D1048576"/>
    </sheetView>
  </sheetViews>
  <sheetFormatPr defaultRowHeight="14.4" x14ac:dyDescent="0.3"/>
  <cols>
    <col min="1" max="1" width="12.5546875" customWidth="1"/>
    <col min="2" max="2" width="14.21875" customWidth="1"/>
    <col min="3" max="3" width="12.88671875" customWidth="1"/>
    <col min="4" max="4" width="12" customWidth="1"/>
    <col min="5" max="5" width="11.6640625" customWidth="1"/>
    <col min="6" max="6" width="13" customWidth="1"/>
    <col min="7" max="7" width="20.77734375" style="4" customWidth="1"/>
    <col min="8" max="8" width="13.109375" style="5" customWidth="1"/>
  </cols>
  <sheetData>
    <row r="1" spans="1:8" x14ac:dyDescent="0.3">
      <c r="A1" s="1" t="s">
        <v>401</v>
      </c>
      <c r="B1" s="1" t="s">
        <v>0</v>
      </c>
      <c r="C1" s="1" t="s">
        <v>321</v>
      </c>
      <c r="D1" s="1" t="s">
        <v>358</v>
      </c>
      <c r="E1" s="1" t="s">
        <v>402</v>
      </c>
      <c r="F1" s="1" t="s">
        <v>403</v>
      </c>
      <c r="G1" s="3" t="s">
        <v>404</v>
      </c>
      <c r="H1" s="6" t="s">
        <v>405</v>
      </c>
    </row>
    <row r="2" spans="1:8" x14ac:dyDescent="0.3">
      <c r="A2">
        <v>4001</v>
      </c>
      <c r="B2">
        <v>1136</v>
      </c>
      <c r="C2">
        <v>2025</v>
      </c>
      <c r="D2">
        <v>3003</v>
      </c>
      <c r="E2">
        <v>4</v>
      </c>
      <c r="F2">
        <v>12</v>
      </c>
      <c r="G2" s="4">
        <v>45587</v>
      </c>
      <c r="H2" s="5">
        <v>59838.8</v>
      </c>
    </row>
    <row r="3" spans="1:8" x14ac:dyDescent="0.3">
      <c r="A3">
        <v>4002</v>
      </c>
      <c r="B3">
        <v>1233</v>
      </c>
      <c r="C3">
        <v>2023</v>
      </c>
      <c r="D3">
        <v>3021</v>
      </c>
      <c r="E3">
        <v>3</v>
      </c>
      <c r="F3">
        <v>14</v>
      </c>
      <c r="G3" s="4">
        <v>45593</v>
      </c>
      <c r="H3" s="5">
        <v>12384.34</v>
      </c>
    </row>
    <row r="4" spans="1:8" x14ac:dyDescent="0.3">
      <c r="A4">
        <v>4003</v>
      </c>
      <c r="B4">
        <v>1267</v>
      </c>
      <c r="C4">
        <v>2015</v>
      </c>
      <c r="D4">
        <v>3012</v>
      </c>
      <c r="E4">
        <v>3</v>
      </c>
      <c r="F4">
        <v>26</v>
      </c>
      <c r="G4" s="4">
        <v>45593</v>
      </c>
      <c r="H4" s="5">
        <v>39086.160000000003</v>
      </c>
    </row>
    <row r="5" spans="1:8" x14ac:dyDescent="0.3">
      <c r="A5">
        <v>4004</v>
      </c>
      <c r="B5">
        <v>1031</v>
      </c>
      <c r="C5">
        <v>2003</v>
      </c>
      <c r="D5">
        <v>3019</v>
      </c>
      <c r="E5">
        <v>1</v>
      </c>
      <c r="F5">
        <v>18</v>
      </c>
      <c r="G5" s="4">
        <v>45612</v>
      </c>
      <c r="H5" s="5">
        <v>10893.37</v>
      </c>
    </row>
    <row r="6" spans="1:8" x14ac:dyDescent="0.3">
      <c r="A6">
        <v>4005</v>
      </c>
      <c r="B6">
        <v>1237</v>
      </c>
      <c r="C6">
        <v>2002</v>
      </c>
      <c r="D6">
        <v>3006</v>
      </c>
      <c r="E6">
        <v>5</v>
      </c>
      <c r="F6">
        <v>18</v>
      </c>
      <c r="G6" s="4">
        <v>45615</v>
      </c>
      <c r="H6" s="5">
        <v>39303.919999999998</v>
      </c>
    </row>
    <row r="7" spans="1:8" x14ac:dyDescent="0.3">
      <c r="A7">
        <v>4006</v>
      </c>
      <c r="B7">
        <v>1095</v>
      </c>
      <c r="C7">
        <v>2021</v>
      </c>
      <c r="D7">
        <v>3012</v>
      </c>
      <c r="E7">
        <v>1</v>
      </c>
      <c r="F7">
        <v>10</v>
      </c>
      <c r="G7" s="4">
        <v>45594</v>
      </c>
      <c r="H7" s="5">
        <v>15908.3</v>
      </c>
    </row>
    <row r="8" spans="1:8" x14ac:dyDescent="0.3">
      <c r="A8">
        <v>4007</v>
      </c>
      <c r="B8">
        <v>1105</v>
      </c>
      <c r="C8">
        <v>2012</v>
      </c>
      <c r="D8">
        <v>3011</v>
      </c>
      <c r="E8">
        <v>1</v>
      </c>
      <c r="F8">
        <v>5</v>
      </c>
      <c r="G8" s="4">
        <v>45600</v>
      </c>
      <c r="H8" s="5">
        <v>11234.49</v>
      </c>
    </row>
    <row r="9" spans="1:8" x14ac:dyDescent="0.3">
      <c r="A9">
        <v>4008</v>
      </c>
      <c r="B9">
        <v>1007</v>
      </c>
      <c r="C9">
        <v>2012</v>
      </c>
      <c r="D9">
        <v>3032</v>
      </c>
      <c r="E9">
        <v>2</v>
      </c>
      <c r="F9">
        <v>12</v>
      </c>
      <c r="G9" s="4">
        <v>45593</v>
      </c>
      <c r="H9" s="5">
        <v>20940.509999999998</v>
      </c>
    </row>
    <row r="10" spans="1:8" x14ac:dyDescent="0.3">
      <c r="A10">
        <v>4009</v>
      </c>
      <c r="B10">
        <v>1239</v>
      </c>
      <c r="C10">
        <v>2016</v>
      </c>
      <c r="D10">
        <v>3014</v>
      </c>
      <c r="E10">
        <v>5</v>
      </c>
      <c r="F10">
        <v>6</v>
      </c>
      <c r="G10" s="4">
        <v>45576</v>
      </c>
      <c r="H10" s="5">
        <v>57739.39</v>
      </c>
    </row>
    <row r="11" spans="1:8" x14ac:dyDescent="0.3">
      <c r="A11">
        <v>4010</v>
      </c>
      <c r="B11">
        <v>1293</v>
      </c>
      <c r="C11">
        <v>2005</v>
      </c>
      <c r="D11">
        <v>3033</v>
      </c>
      <c r="E11">
        <v>4</v>
      </c>
      <c r="F11">
        <v>17</v>
      </c>
      <c r="G11" s="4">
        <v>45580</v>
      </c>
      <c r="H11" s="5">
        <v>12716.62</v>
      </c>
    </row>
    <row r="12" spans="1:8" x14ac:dyDescent="0.3">
      <c r="A12">
        <v>4011</v>
      </c>
      <c r="B12">
        <v>1062</v>
      </c>
      <c r="C12">
        <v>2015</v>
      </c>
      <c r="D12">
        <v>3027</v>
      </c>
      <c r="E12">
        <v>1</v>
      </c>
      <c r="F12">
        <v>13</v>
      </c>
      <c r="G12" s="4">
        <v>45590</v>
      </c>
      <c r="H12" s="5">
        <v>15403.5</v>
      </c>
    </row>
    <row r="13" spans="1:8" x14ac:dyDescent="0.3">
      <c r="A13">
        <v>4012</v>
      </c>
      <c r="B13">
        <v>1052</v>
      </c>
      <c r="C13">
        <v>2009</v>
      </c>
      <c r="D13">
        <v>3034</v>
      </c>
      <c r="E13">
        <v>1</v>
      </c>
      <c r="F13">
        <v>2</v>
      </c>
      <c r="G13" s="4">
        <v>45613</v>
      </c>
      <c r="H13" s="5">
        <v>10824.96</v>
      </c>
    </row>
    <row r="14" spans="1:8" x14ac:dyDescent="0.3">
      <c r="A14">
        <v>4013</v>
      </c>
      <c r="B14">
        <v>1012</v>
      </c>
      <c r="C14">
        <v>2025</v>
      </c>
      <c r="D14">
        <v>3005</v>
      </c>
      <c r="E14">
        <v>2</v>
      </c>
      <c r="F14">
        <v>15</v>
      </c>
      <c r="G14" s="4">
        <v>45601</v>
      </c>
      <c r="H14" s="5">
        <v>28979.95</v>
      </c>
    </row>
    <row r="15" spans="1:8" x14ac:dyDescent="0.3">
      <c r="A15">
        <v>4014</v>
      </c>
      <c r="B15">
        <v>1091</v>
      </c>
      <c r="C15">
        <v>2018</v>
      </c>
      <c r="D15">
        <v>3010</v>
      </c>
      <c r="E15">
        <v>5</v>
      </c>
      <c r="F15">
        <v>26</v>
      </c>
      <c r="G15" s="4">
        <v>45592</v>
      </c>
      <c r="H15" s="5">
        <v>26780.99</v>
      </c>
    </row>
    <row r="16" spans="1:8" x14ac:dyDescent="0.3">
      <c r="A16">
        <v>4015</v>
      </c>
      <c r="B16">
        <v>1005</v>
      </c>
      <c r="C16">
        <v>2011</v>
      </c>
      <c r="D16">
        <v>3026</v>
      </c>
      <c r="E16">
        <v>4</v>
      </c>
      <c r="F16">
        <v>13</v>
      </c>
      <c r="G16" s="4">
        <v>45604</v>
      </c>
      <c r="H16" s="5">
        <v>26021.91</v>
      </c>
    </row>
    <row r="17" spans="1:8" x14ac:dyDescent="0.3">
      <c r="A17">
        <v>4016</v>
      </c>
      <c r="B17">
        <v>1234</v>
      </c>
      <c r="C17">
        <v>2003</v>
      </c>
      <c r="D17">
        <v>3017</v>
      </c>
      <c r="E17">
        <v>4</v>
      </c>
      <c r="F17">
        <v>16</v>
      </c>
      <c r="G17" s="4">
        <v>45610</v>
      </c>
      <c r="H17" s="5">
        <v>44426.2</v>
      </c>
    </row>
    <row r="18" spans="1:8" x14ac:dyDescent="0.3">
      <c r="A18">
        <v>4017</v>
      </c>
      <c r="B18">
        <v>1089</v>
      </c>
      <c r="C18">
        <v>2025</v>
      </c>
      <c r="D18">
        <v>3028</v>
      </c>
      <c r="E18">
        <v>4</v>
      </c>
      <c r="F18">
        <v>4</v>
      </c>
      <c r="G18" s="4">
        <v>45597</v>
      </c>
      <c r="H18" s="5">
        <v>65278.080000000002</v>
      </c>
    </row>
    <row r="19" spans="1:8" x14ac:dyDescent="0.3">
      <c r="A19">
        <v>4018</v>
      </c>
      <c r="B19">
        <v>1117</v>
      </c>
      <c r="C19">
        <v>2023</v>
      </c>
      <c r="D19">
        <v>3003</v>
      </c>
      <c r="E19">
        <v>2</v>
      </c>
      <c r="F19">
        <v>3</v>
      </c>
      <c r="G19" s="4">
        <v>45598</v>
      </c>
      <c r="H19" s="5">
        <v>9318.58</v>
      </c>
    </row>
    <row r="20" spans="1:8" x14ac:dyDescent="0.3">
      <c r="A20">
        <v>4019</v>
      </c>
      <c r="B20">
        <v>1103</v>
      </c>
      <c r="C20">
        <v>2023</v>
      </c>
      <c r="D20">
        <v>3020</v>
      </c>
      <c r="E20">
        <v>2</v>
      </c>
      <c r="F20">
        <v>18</v>
      </c>
      <c r="G20" s="4">
        <v>45597</v>
      </c>
      <c r="H20" s="5">
        <v>7884.21</v>
      </c>
    </row>
    <row r="21" spans="1:8" x14ac:dyDescent="0.3">
      <c r="A21">
        <v>4020</v>
      </c>
      <c r="B21">
        <v>1276</v>
      </c>
      <c r="C21">
        <v>2002</v>
      </c>
      <c r="D21">
        <v>3012</v>
      </c>
      <c r="E21">
        <v>4</v>
      </c>
      <c r="F21">
        <v>17</v>
      </c>
      <c r="G21" s="4">
        <v>45611</v>
      </c>
      <c r="H21" s="5">
        <v>31652.880000000001</v>
      </c>
    </row>
    <row r="22" spans="1:8" x14ac:dyDescent="0.3">
      <c r="A22">
        <v>4021</v>
      </c>
      <c r="B22">
        <v>1145</v>
      </c>
      <c r="C22">
        <v>2021</v>
      </c>
      <c r="D22">
        <v>3018</v>
      </c>
      <c r="E22">
        <v>3</v>
      </c>
      <c r="F22">
        <v>15</v>
      </c>
      <c r="G22" s="4">
        <v>45610</v>
      </c>
      <c r="H22" s="5">
        <v>44933.99</v>
      </c>
    </row>
    <row r="23" spans="1:8" x14ac:dyDescent="0.3">
      <c r="A23">
        <v>4022</v>
      </c>
      <c r="B23">
        <v>1105</v>
      </c>
      <c r="C23">
        <v>2025</v>
      </c>
      <c r="D23">
        <v>3009</v>
      </c>
      <c r="E23">
        <v>5</v>
      </c>
      <c r="F23">
        <v>6</v>
      </c>
      <c r="G23" s="4">
        <v>45577</v>
      </c>
      <c r="H23" s="5">
        <v>79699.98</v>
      </c>
    </row>
    <row r="24" spans="1:8" x14ac:dyDescent="0.3">
      <c r="A24">
        <v>4023</v>
      </c>
      <c r="B24">
        <v>1210</v>
      </c>
      <c r="C24">
        <v>2023</v>
      </c>
      <c r="D24">
        <v>3020</v>
      </c>
      <c r="E24">
        <v>2</v>
      </c>
      <c r="F24">
        <v>20</v>
      </c>
      <c r="G24" s="4">
        <v>45600</v>
      </c>
      <c r="H24" s="5">
        <v>7665.61</v>
      </c>
    </row>
    <row r="25" spans="1:8" x14ac:dyDescent="0.3">
      <c r="A25">
        <v>4024</v>
      </c>
      <c r="B25">
        <v>1031</v>
      </c>
      <c r="C25">
        <v>2012</v>
      </c>
      <c r="D25">
        <v>3015</v>
      </c>
      <c r="E25">
        <v>1</v>
      </c>
      <c r="F25">
        <v>12</v>
      </c>
      <c r="G25" s="4">
        <v>45596</v>
      </c>
      <c r="H25" s="5">
        <v>10389.56</v>
      </c>
    </row>
    <row r="26" spans="1:8" x14ac:dyDescent="0.3">
      <c r="A26">
        <v>4025</v>
      </c>
      <c r="B26">
        <v>1268</v>
      </c>
      <c r="C26">
        <v>2025</v>
      </c>
      <c r="D26">
        <v>3025</v>
      </c>
      <c r="E26">
        <v>2</v>
      </c>
      <c r="F26">
        <v>21</v>
      </c>
      <c r="G26" s="4">
        <v>45608</v>
      </c>
      <c r="H26" s="5">
        <v>26770.89</v>
      </c>
    </row>
    <row r="27" spans="1:8" x14ac:dyDescent="0.3">
      <c r="A27">
        <v>4026</v>
      </c>
      <c r="B27">
        <v>1029</v>
      </c>
      <c r="C27">
        <v>2006</v>
      </c>
      <c r="D27">
        <v>3017</v>
      </c>
      <c r="E27">
        <v>2</v>
      </c>
      <c r="F27">
        <v>2</v>
      </c>
      <c r="G27" s="4">
        <v>45592</v>
      </c>
      <c r="H27" s="5">
        <v>23729.26</v>
      </c>
    </row>
    <row r="28" spans="1:8" x14ac:dyDescent="0.3">
      <c r="A28">
        <v>4027</v>
      </c>
      <c r="B28">
        <v>1110</v>
      </c>
      <c r="C28">
        <v>2013</v>
      </c>
      <c r="D28">
        <v>3012</v>
      </c>
      <c r="E28">
        <v>3</v>
      </c>
      <c r="F28">
        <v>4</v>
      </c>
      <c r="G28" s="4">
        <v>45583</v>
      </c>
      <c r="H28" s="5">
        <v>34024.76</v>
      </c>
    </row>
    <row r="29" spans="1:8" x14ac:dyDescent="0.3">
      <c r="A29">
        <v>4028</v>
      </c>
      <c r="B29">
        <v>1269</v>
      </c>
      <c r="C29">
        <v>2023</v>
      </c>
      <c r="D29">
        <v>3001</v>
      </c>
      <c r="E29">
        <v>5</v>
      </c>
      <c r="F29">
        <v>12</v>
      </c>
      <c r="G29" s="4">
        <v>45607</v>
      </c>
      <c r="H29" s="5">
        <v>21076.82</v>
      </c>
    </row>
    <row r="30" spans="1:8" x14ac:dyDescent="0.3">
      <c r="A30">
        <v>4029</v>
      </c>
      <c r="B30">
        <v>1226</v>
      </c>
      <c r="C30">
        <v>2003</v>
      </c>
      <c r="D30">
        <v>3019</v>
      </c>
      <c r="E30">
        <v>4</v>
      </c>
      <c r="F30">
        <v>20</v>
      </c>
      <c r="G30" s="4">
        <v>45581</v>
      </c>
      <c r="H30" s="5">
        <v>42519.5</v>
      </c>
    </row>
    <row r="31" spans="1:8" x14ac:dyDescent="0.3">
      <c r="A31">
        <v>4030</v>
      </c>
      <c r="B31">
        <v>1251</v>
      </c>
      <c r="C31">
        <v>2008</v>
      </c>
      <c r="D31">
        <v>3016</v>
      </c>
      <c r="E31">
        <v>1</v>
      </c>
      <c r="F31">
        <v>8</v>
      </c>
      <c r="G31" s="4">
        <v>45612</v>
      </c>
      <c r="H31" s="5">
        <v>1972.38</v>
      </c>
    </row>
    <row r="32" spans="1:8" x14ac:dyDescent="0.3">
      <c r="A32">
        <v>4031</v>
      </c>
      <c r="B32">
        <v>1065</v>
      </c>
      <c r="C32">
        <v>2025</v>
      </c>
      <c r="D32">
        <v>3031</v>
      </c>
      <c r="E32">
        <v>1</v>
      </c>
      <c r="F32">
        <v>3</v>
      </c>
      <c r="G32" s="4">
        <v>45575</v>
      </c>
      <c r="H32" s="5">
        <v>16579.91</v>
      </c>
    </row>
    <row r="33" spans="1:8" x14ac:dyDescent="0.3">
      <c r="A33">
        <v>4032</v>
      </c>
      <c r="B33">
        <v>1033</v>
      </c>
      <c r="C33">
        <v>2015</v>
      </c>
      <c r="D33">
        <v>3007</v>
      </c>
      <c r="E33">
        <v>4</v>
      </c>
      <c r="F33">
        <v>5</v>
      </c>
      <c r="G33" s="4">
        <v>45614</v>
      </c>
      <c r="H33" s="5">
        <v>66719.16</v>
      </c>
    </row>
    <row r="34" spans="1:8" x14ac:dyDescent="0.3">
      <c r="A34">
        <v>4033</v>
      </c>
      <c r="B34">
        <v>1069</v>
      </c>
      <c r="C34">
        <v>2020</v>
      </c>
      <c r="D34">
        <v>3013</v>
      </c>
      <c r="E34">
        <v>2</v>
      </c>
      <c r="F34">
        <v>21</v>
      </c>
      <c r="G34" s="4">
        <v>45614</v>
      </c>
      <c r="H34" s="5">
        <v>7147.05</v>
      </c>
    </row>
    <row r="35" spans="1:8" x14ac:dyDescent="0.3">
      <c r="A35">
        <v>4034</v>
      </c>
      <c r="B35">
        <v>1018</v>
      </c>
      <c r="C35">
        <v>2010</v>
      </c>
      <c r="D35">
        <v>3010</v>
      </c>
      <c r="E35">
        <v>1</v>
      </c>
      <c r="F35">
        <v>12</v>
      </c>
      <c r="G35" s="4">
        <v>45610</v>
      </c>
      <c r="H35" s="5">
        <v>15679.33</v>
      </c>
    </row>
    <row r="36" spans="1:8" x14ac:dyDescent="0.3">
      <c r="A36">
        <v>4035</v>
      </c>
      <c r="B36">
        <v>1084</v>
      </c>
      <c r="C36">
        <v>2003</v>
      </c>
      <c r="D36">
        <v>3001</v>
      </c>
      <c r="E36">
        <v>2</v>
      </c>
      <c r="F36">
        <v>25</v>
      </c>
      <c r="G36" s="4">
        <v>45613</v>
      </c>
      <c r="H36" s="5">
        <v>19734.39</v>
      </c>
    </row>
    <row r="37" spans="1:8" x14ac:dyDescent="0.3">
      <c r="A37">
        <v>4036</v>
      </c>
      <c r="B37">
        <v>1217</v>
      </c>
      <c r="C37">
        <v>2021</v>
      </c>
      <c r="D37">
        <v>3012</v>
      </c>
      <c r="E37">
        <v>1</v>
      </c>
      <c r="F37">
        <v>2</v>
      </c>
      <c r="G37" s="4">
        <v>45588</v>
      </c>
      <c r="H37" s="5">
        <v>17153.38</v>
      </c>
    </row>
    <row r="38" spans="1:8" x14ac:dyDescent="0.3">
      <c r="A38">
        <v>4037</v>
      </c>
      <c r="B38">
        <v>1009</v>
      </c>
      <c r="C38">
        <v>2017</v>
      </c>
      <c r="D38">
        <v>3024</v>
      </c>
      <c r="E38">
        <v>2</v>
      </c>
      <c r="F38">
        <v>27</v>
      </c>
      <c r="G38" s="4">
        <v>45601</v>
      </c>
      <c r="H38" s="5">
        <v>11969.57</v>
      </c>
    </row>
    <row r="39" spans="1:8" x14ac:dyDescent="0.3">
      <c r="A39">
        <v>4038</v>
      </c>
      <c r="B39">
        <v>1036</v>
      </c>
      <c r="C39">
        <v>2024</v>
      </c>
      <c r="D39">
        <v>3009</v>
      </c>
      <c r="E39">
        <v>2</v>
      </c>
      <c r="F39">
        <v>23</v>
      </c>
      <c r="G39" s="4">
        <v>45594</v>
      </c>
      <c r="H39" s="5">
        <v>25097.93</v>
      </c>
    </row>
    <row r="40" spans="1:8" x14ac:dyDescent="0.3">
      <c r="A40">
        <v>4039</v>
      </c>
      <c r="B40">
        <v>1249</v>
      </c>
      <c r="C40">
        <v>2003</v>
      </c>
      <c r="D40">
        <v>3004</v>
      </c>
      <c r="E40">
        <v>3</v>
      </c>
      <c r="F40">
        <v>20</v>
      </c>
      <c r="G40" s="4">
        <v>45575</v>
      </c>
      <c r="H40" s="5">
        <v>31845.93</v>
      </c>
    </row>
    <row r="41" spans="1:8" x14ac:dyDescent="0.3">
      <c r="A41">
        <v>4040</v>
      </c>
      <c r="B41">
        <v>1254</v>
      </c>
      <c r="C41">
        <v>2009</v>
      </c>
      <c r="D41">
        <v>3012</v>
      </c>
      <c r="E41">
        <v>5</v>
      </c>
      <c r="F41">
        <v>1</v>
      </c>
      <c r="G41" s="4">
        <v>45608</v>
      </c>
      <c r="H41" s="5">
        <v>54693.7</v>
      </c>
    </row>
    <row r="42" spans="1:8" x14ac:dyDescent="0.3">
      <c r="A42">
        <v>4041</v>
      </c>
      <c r="B42">
        <v>1172</v>
      </c>
      <c r="C42">
        <v>2022</v>
      </c>
      <c r="D42">
        <v>3016</v>
      </c>
      <c r="E42">
        <v>4</v>
      </c>
      <c r="F42">
        <v>14</v>
      </c>
      <c r="G42" s="4">
        <v>45587</v>
      </c>
      <c r="H42" s="5">
        <v>58690.74</v>
      </c>
    </row>
    <row r="43" spans="1:8" x14ac:dyDescent="0.3">
      <c r="A43">
        <v>4042</v>
      </c>
      <c r="B43">
        <v>1010</v>
      </c>
      <c r="C43">
        <v>2005</v>
      </c>
      <c r="D43">
        <v>3015</v>
      </c>
      <c r="E43">
        <v>5</v>
      </c>
      <c r="F43">
        <v>17</v>
      </c>
      <c r="G43" s="4">
        <v>45582</v>
      </c>
      <c r="H43" s="5">
        <v>15865.15</v>
      </c>
    </row>
    <row r="44" spans="1:8" x14ac:dyDescent="0.3">
      <c r="A44">
        <v>4043</v>
      </c>
      <c r="B44">
        <v>1097</v>
      </c>
      <c r="C44">
        <v>2011</v>
      </c>
      <c r="D44">
        <v>3009</v>
      </c>
      <c r="E44">
        <v>4</v>
      </c>
      <c r="F44">
        <v>14</v>
      </c>
      <c r="G44" s="4">
        <v>45608</v>
      </c>
      <c r="H44" s="5">
        <v>25686.76</v>
      </c>
    </row>
    <row r="45" spans="1:8" x14ac:dyDescent="0.3">
      <c r="A45">
        <v>4044</v>
      </c>
      <c r="B45">
        <v>1088</v>
      </c>
      <c r="C45">
        <v>2016</v>
      </c>
      <c r="D45">
        <v>3013</v>
      </c>
      <c r="E45">
        <v>3</v>
      </c>
      <c r="F45">
        <v>5</v>
      </c>
      <c r="G45" s="4">
        <v>45575</v>
      </c>
      <c r="H45" s="5">
        <v>34966.82</v>
      </c>
    </row>
    <row r="46" spans="1:8" x14ac:dyDescent="0.3">
      <c r="A46">
        <v>4045</v>
      </c>
      <c r="B46">
        <v>1294</v>
      </c>
      <c r="C46">
        <v>2003</v>
      </c>
      <c r="D46">
        <v>3003</v>
      </c>
      <c r="E46">
        <v>5</v>
      </c>
      <c r="F46">
        <v>1</v>
      </c>
      <c r="G46" s="4">
        <v>45585</v>
      </c>
      <c r="H46" s="5">
        <v>65331.09</v>
      </c>
    </row>
    <row r="47" spans="1:8" x14ac:dyDescent="0.3">
      <c r="A47">
        <v>4046</v>
      </c>
      <c r="B47">
        <v>1200</v>
      </c>
      <c r="C47">
        <v>2025</v>
      </c>
      <c r="D47">
        <v>3013</v>
      </c>
      <c r="E47">
        <v>1</v>
      </c>
      <c r="F47">
        <v>26</v>
      </c>
      <c r="G47" s="4">
        <v>45581</v>
      </c>
      <c r="H47" s="5">
        <v>12553.21</v>
      </c>
    </row>
    <row r="48" spans="1:8" x14ac:dyDescent="0.3">
      <c r="A48">
        <v>4047</v>
      </c>
      <c r="B48">
        <v>1247</v>
      </c>
      <c r="C48">
        <v>2013</v>
      </c>
      <c r="D48">
        <v>3014</v>
      </c>
      <c r="E48">
        <v>5</v>
      </c>
      <c r="F48">
        <v>8</v>
      </c>
      <c r="G48" s="4">
        <v>45604</v>
      </c>
      <c r="H48" s="5">
        <v>54338.94</v>
      </c>
    </row>
    <row r="49" spans="1:8" x14ac:dyDescent="0.3">
      <c r="A49">
        <v>4048</v>
      </c>
      <c r="B49">
        <v>1298</v>
      </c>
      <c r="C49">
        <v>2003</v>
      </c>
      <c r="D49">
        <v>3004</v>
      </c>
      <c r="E49">
        <v>3</v>
      </c>
      <c r="F49">
        <v>19</v>
      </c>
      <c r="G49" s="4">
        <v>45596</v>
      </c>
      <c r="H49" s="5">
        <v>32179.599999999999</v>
      </c>
    </row>
    <row r="50" spans="1:8" x14ac:dyDescent="0.3">
      <c r="A50">
        <v>4049</v>
      </c>
      <c r="B50">
        <v>1286</v>
      </c>
      <c r="C50">
        <v>2009</v>
      </c>
      <c r="D50">
        <v>3012</v>
      </c>
      <c r="E50">
        <v>1</v>
      </c>
      <c r="F50">
        <v>25</v>
      </c>
      <c r="G50" s="4">
        <v>45595</v>
      </c>
      <c r="H50" s="5">
        <v>8283.0400000000009</v>
      </c>
    </row>
    <row r="51" spans="1:8" x14ac:dyDescent="0.3">
      <c r="A51">
        <v>4050</v>
      </c>
      <c r="B51">
        <v>1119</v>
      </c>
      <c r="C51">
        <v>2004</v>
      </c>
      <c r="D51">
        <v>3005</v>
      </c>
      <c r="E51">
        <v>4</v>
      </c>
      <c r="F51">
        <v>7</v>
      </c>
      <c r="G51" s="4">
        <v>45615</v>
      </c>
      <c r="H51" s="5">
        <v>18399.650000000001</v>
      </c>
    </row>
    <row r="52" spans="1:8" x14ac:dyDescent="0.3">
      <c r="A52">
        <v>4051</v>
      </c>
      <c r="B52">
        <v>1271</v>
      </c>
      <c r="C52">
        <v>2019</v>
      </c>
      <c r="D52">
        <v>3001</v>
      </c>
      <c r="E52">
        <v>2</v>
      </c>
      <c r="F52">
        <v>28</v>
      </c>
      <c r="G52" s="4">
        <v>45605</v>
      </c>
      <c r="H52" s="5">
        <v>19577.39</v>
      </c>
    </row>
    <row r="53" spans="1:8" x14ac:dyDescent="0.3">
      <c r="A53">
        <v>4052</v>
      </c>
      <c r="B53">
        <v>1092</v>
      </c>
      <c r="C53">
        <v>2002</v>
      </c>
      <c r="D53">
        <v>3030</v>
      </c>
      <c r="E53">
        <v>5</v>
      </c>
      <c r="F53">
        <v>10</v>
      </c>
      <c r="G53" s="4">
        <v>45611</v>
      </c>
      <c r="H53" s="5">
        <v>43036.480000000003</v>
      </c>
    </row>
    <row r="54" spans="1:8" x14ac:dyDescent="0.3">
      <c r="A54">
        <v>4053</v>
      </c>
      <c r="B54">
        <v>1146</v>
      </c>
      <c r="C54">
        <v>2017</v>
      </c>
      <c r="D54">
        <v>3017</v>
      </c>
      <c r="E54">
        <v>1</v>
      </c>
      <c r="F54">
        <v>14</v>
      </c>
      <c r="G54" s="4">
        <v>45608</v>
      </c>
      <c r="H54" s="5">
        <v>7033.41</v>
      </c>
    </row>
    <row r="55" spans="1:8" x14ac:dyDescent="0.3">
      <c r="A55">
        <v>4054</v>
      </c>
      <c r="B55">
        <v>1204</v>
      </c>
      <c r="C55">
        <v>2022</v>
      </c>
      <c r="D55">
        <v>3017</v>
      </c>
      <c r="E55">
        <v>3</v>
      </c>
      <c r="F55">
        <v>6</v>
      </c>
      <c r="G55" s="4">
        <v>45582</v>
      </c>
      <c r="H55" s="5">
        <v>48334.46</v>
      </c>
    </row>
    <row r="56" spans="1:8" x14ac:dyDescent="0.3">
      <c r="A56">
        <v>4055</v>
      </c>
      <c r="B56">
        <v>1181</v>
      </c>
      <c r="C56">
        <v>2002</v>
      </c>
      <c r="D56">
        <v>3011</v>
      </c>
      <c r="E56">
        <v>2</v>
      </c>
      <c r="F56">
        <v>26</v>
      </c>
      <c r="G56" s="4">
        <v>45613</v>
      </c>
      <c r="H56" s="5">
        <v>14074.09</v>
      </c>
    </row>
    <row r="57" spans="1:8" x14ac:dyDescent="0.3">
      <c r="A57">
        <v>4056</v>
      </c>
      <c r="B57">
        <v>1247</v>
      </c>
      <c r="C57">
        <v>2017</v>
      </c>
      <c r="D57">
        <v>3026</v>
      </c>
      <c r="E57">
        <v>4</v>
      </c>
      <c r="F57">
        <v>21</v>
      </c>
      <c r="G57" s="4">
        <v>45592</v>
      </c>
      <c r="H57" s="5">
        <v>26021.66</v>
      </c>
    </row>
    <row r="58" spans="1:8" x14ac:dyDescent="0.3">
      <c r="A58">
        <v>4057</v>
      </c>
      <c r="B58">
        <v>1043</v>
      </c>
      <c r="C58">
        <v>2005</v>
      </c>
      <c r="D58">
        <v>3014</v>
      </c>
      <c r="E58">
        <v>2</v>
      </c>
      <c r="F58">
        <v>23</v>
      </c>
      <c r="G58" s="4">
        <v>45601</v>
      </c>
      <c r="H58" s="5">
        <v>5903.54</v>
      </c>
    </row>
    <row r="59" spans="1:8" x14ac:dyDescent="0.3">
      <c r="A59">
        <v>4058</v>
      </c>
      <c r="B59">
        <v>1017</v>
      </c>
      <c r="C59">
        <v>2014</v>
      </c>
      <c r="D59">
        <v>3017</v>
      </c>
      <c r="E59">
        <v>2</v>
      </c>
      <c r="F59">
        <v>22</v>
      </c>
      <c r="G59" s="4">
        <v>45603</v>
      </c>
      <c r="H59" s="5">
        <v>21431.18</v>
      </c>
    </row>
    <row r="60" spans="1:8" x14ac:dyDescent="0.3">
      <c r="A60">
        <v>4059</v>
      </c>
      <c r="B60">
        <v>1053</v>
      </c>
      <c r="C60">
        <v>2017</v>
      </c>
      <c r="D60">
        <v>3012</v>
      </c>
      <c r="E60">
        <v>3</v>
      </c>
      <c r="F60">
        <v>27</v>
      </c>
      <c r="G60" s="4">
        <v>45604</v>
      </c>
      <c r="H60" s="5">
        <v>17811.919999999998</v>
      </c>
    </row>
    <row r="61" spans="1:8" x14ac:dyDescent="0.3">
      <c r="A61">
        <v>4060</v>
      </c>
      <c r="B61">
        <v>1087</v>
      </c>
      <c r="C61">
        <v>2003</v>
      </c>
      <c r="D61">
        <v>3006</v>
      </c>
      <c r="E61">
        <v>5</v>
      </c>
      <c r="F61">
        <v>13</v>
      </c>
      <c r="G61" s="4">
        <v>45601</v>
      </c>
      <c r="H61" s="5">
        <v>57505.66</v>
      </c>
    </row>
    <row r="62" spans="1:8" x14ac:dyDescent="0.3">
      <c r="A62">
        <v>4061</v>
      </c>
      <c r="B62">
        <v>1157</v>
      </c>
      <c r="C62">
        <v>2014</v>
      </c>
      <c r="D62">
        <v>3026</v>
      </c>
      <c r="E62">
        <v>2</v>
      </c>
      <c r="F62">
        <v>26</v>
      </c>
      <c r="G62" s="4">
        <v>45593</v>
      </c>
      <c r="H62" s="5">
        <v>20474.63</v>
      </c>
    </row>
    <row r="63" spans="1:8" x14ac:dyDescent="0.3">
      <c r="A63">
        <v>4062</v>
      </c>
      <c r="B63">
        <v>1296</v>
      </c>
      <c r="C63">
        <v>2006</v>
      </c>
      <c r="D63">
        <v>3002</v>
      </c>
      <c r="E63">
        <v>1</v>
      </c>
      <c r="F63">
        <v>20</v>
      </c>
      <c r="G63" s="4">
        <v>45610</v>
      </c>
      <c r="H63" s="5">
        <v>9607</v>
      </c>
    </row>
    <row r="64" spans="1:8" x14ac:dyDescent="0.3">
      <c r="A64">
        <v>4063</v>
      </c>
      <c r="B64">
        <v>1001</v>
      </c>
      <c r="C64">
        <v>2022</v>
      </c>
      <c r="D64">
        <v>3021</v>
      </c>
      <c r="E64">
        <v>1</v>
      </c>
      <c r="F64">
        <v>25</v>
      </c>
      <c r="G64" s="4">
        <v>45592</v>
      </c>
      <c r="H64" s="5">
        <v>12906.34</v>
      </c>
    </row>
    <row r="65" spans="1:8" x14ac:dyDescent="0.3">
      <c r="A65">
        <v>4064</v>
      </c>
      <c r="B65">
        <v>1279</v>
      </c>
      <c r="C65">
        <v>2012</v>
      </c>
      <c r="D65">
        <v>3005</v>
      </c>
      <c r="E65">
        <v>5</v>
      </c>
      <c r="F65">
        <v>2</v>
      </c>
      <c r="G65" s="4">
        <v>45611</v>
      </c>
      <c r="H65" s="5">
        <v>58361.91</v>
      </c>
    </row>
    <row r="66" spans="1:8" x14ac:dyDescent="0.3">
      <c r="A66">
        <v>4065</v>
      </c>
      <c r="B66">
        <v>1123</v>
      </c>
      <c r="C66">
        <v>2011</v>
      </c>
      <c r="D66">
        <v>3001</v>
      </c>
      <c r="E66">
        <v>5</v>
      </c>
      <c r="F66">
        <v>17</v>
      </c>
      <c r="G66" s="4">
        <v>45597</v>
      </c>
      <c r="H66" s="5">
        <v>31083.56</v>
      </c>
    </row>
    <row r="67" spans="1:8" x14ac:dyDescent="0.3">
      <c r="A67">
        <v>4066</v>
      </c>
      <c r="B67">
        <v>1147</v>
      </c>
      <c r="C67">
        <v>2005</v>
      </c>
      <c r="D67">
        <v>3030</v>
      </c>
      <c r="E67">
        <v>1</v>
      </c>
      <c r="F67">
        <v>7</v>
      </c>
      <c r="G67" s="4">
        <v>45603</v>
      </c>
      <c r="H67" s="5">
        <v>3543.2</v>
      </c>
    </row>
    <row r="68" spans="1:8" x14ac:dyDescent="0.3">
      <c r="A68">
        <v>4067</v>
      </c>
      <c r="B68">
        <v>1137</v>
      </c>
      <c r="C68">
        <v>2016</v>
      </c>
      <c r="D68">
        <v>3025</v>
      </c>
      <c r="E68">
        <v>4</v>
      </c>
      <c r="F68">
        <v>13</v>
      </c>
      <c r="G68" s="4">
        <v>45599</v>
      </c>
      <c r="H68" s="5">
        <v>42572.78</v>
      </c>
    </row>
    <row r="69" spans="1:8" x14ac:dyDescent="0.3">
      <c r="A69">
        <v>4068</v>
      </c>
      <c r="B69">
        <v>1045</v>
      </c>
      <c r="C69">
        <v>2009</v>
      </c>
      <c r="D69">
        <v>3006</v>
      </c>
      <c r="E69">
        <v>2</v>
      </c>
      <c r="F69">
        <v>8</v>
      </c>
      <c r="G69" s="4">
        <v>45594</v>
      </c>
      <c r="H69" s="5">
        <v>20337.53</v>
      </c>
    </row>
    <row r="70" spans="1:8" x14ac:dyDescent="0.3">
      <c r="A70">
        <v>4069</v>
      </c>
      <c r="B70">
        <v>1267</v>
      </c>
      <c r="C70">
        <v>2025</v>
      </c>
      <c r="D70">
        <v>3024</v>
      </c>
      <c r="E70">
        <v>3</v>
      </c>
      <c r="F70">
        <v>15</v>
      </c>
      <c r="G70" s="4">
        <v>45575</v>
      </c>
      <c r="H70" s="5">
        <v>43607.78</v>
      </c>
    </row>
    <row r="71" spans="1:8" x14ac:dyDescent="0.3">
      <c r="A71">
        <v>4070</v>
      </c>
      <c r="B71">
        <v>1004</v>
      </c>
      <c r="C71">
        <v>2022</v>
      </c>
      <c r="D71">
        <v>3031</v>
      </c>
      <c r="E71">
        <v>2</v>
      </c>
      <c r="F71">
        <v>23</v>
      </c>
      <c r="G71" s="4">
        <v>45579</v>
      </c>
      <c r="H71" s="5">
        <v>26440.33</v>
      </c>
    </row>
    <row r="72" spans="1:8" x14ac:dyDescent="0.3">
      <c r="A72">
        <v>4071</v>
      </c>
      <c r="B72">
        <v>1264</v>
      </c>
      <c r="C72">
        <v>2020</v>
      </c>
      <c r="D72">
        <v>3008</v>
      </c>
      <c r="E72">
        <v>2</v>
      </c>
      <c r="F72">
        <v>29</v>
      </c>
      <c r="G72" s="4">
        <v>45585</v>
      </c>
      <c r="H72" s="5">
        <v>6343.34</v>
      </c>
    </row>
    <row r="73" spans="1:8" x14ac:dyDescent="0.3">
      <c r="A73">
        <v>4072</v>
      </c>
      <c r="B73">
        <v>1008</v>
      </c>
      <c r="C73">
        <v>2024</v>
      </c>
      <c r="D73">
        <v>3014</v>
      </c>
      <c r="E73">
        <v>2</v>
      </c>
      <c r="F73">
        <v>4</v>
      </c>
      <c r="G73" s="4">
        <v>45600</v>
      </c>
      <c r="H73" s="5">
        <v>31160.880000000001</v>
      </c>
    </row>
    <row r="74" spans="1:8" x14ac:dyDescent="0.3">
      <c r="A74">
        <v>4073</v>
      </c>
      <c r="B74">
        <v>1006</v>
      </c>
      <c r="C74">
        <v>2015</v>
      </c>
      <c r="D74">
        <v>3025</v>
      </c>
      <c r="E74">
        <v>4</v>
      </c>
      <c r="F74">
        <v>4</v>
      </c>
      <c r="G74" s="4">
        <v>45599</v>
      </c>
      <c r="H74" s="5">
        <v>67704.98</v>
      </c>
    </row>
    <row r="75" spans="1:8" x14ac:dyDescent="0.3">
      <c r="A75">
        <v>4074</v>
      </c>
      <c r="B75">
        <v>1144</v>
      </c>
      <c r="C75">
        <v>2008</v>
      </c>
      <c r="D75">
        <v>3005</v>
      </c>
      <c r="E75">
        <v>5</v>
      </c>
      <c r="F75">
        <v>0</v>
      </c>
      <c r="G75" s="4">
        <v>45595</v>
      </c>
      <c r="H75" s="5">
        <v>10666.12</v>
      </c>
    </row>
    <row r="76" spans="1:8" x14ac:dyDescent="0.3">
      <c r="A76">
        <v>4075</v>
      </c>
      <c r="B76">
        <v>1025</v>
      </c>
      <c r="C76">
        <v>2001</v>
      </c>
      <c r="D76">
        <v>3016</v>
      </c>
      <c r="E76">
        <v>2</v>
      </c>
      <c r="F76">
        <v>4</v>
      </c>
      <c r="G76" s="4">
        <v>45591</v>
      </c>
      <c r="H76" s="5">
        <v>13824.27</v>
      </c>
    </row>
    <row r="77" spans="1:8" x14ac:dyDescent="0.3">
      <c r="A77">
        <v>4076</v>
      </c>
      <c r="B77">
        <v>1077</v>
      </c>
      <c r="C77">
        <v>2016</v>
      </c>
      <c r="D77">
        <v>3020</v>
      </c>
      <c r="E77">
        <v>4</v>
      </c>
      <c r="F77">
        <v>9</v>
      </c>
      <c r="G77" s="4">
        <v>45588</v>
      </c>
      <c r="H77" s="5">
        <v>44756.75</v>
      </c>
    </row>
    <row r="78" spans="1:8" x14ac:dyDescent="0.3">
      <c r="A78">
        <v>4077</v>
      </c>
      <c r="B78">
        <v>1113</v>
      </c>
      <c r="C78">
        <v>2014</v>
      </c>
      <c r="D78">
        <v>3031</v>
      </c>
      <c r="E78">
        <v>1</v>
      </c>
      <c r="F78">
        <v>4</v>
      </c>
      <c r="G78" s="4">
        <v>45608</v>
      </c>
      <c r="H78" s="5">
        <v>13246.58</v>
      </c>
    </row>
    <row r="79" spans="1:8" x14ac:dyDescent="0.3">
      <c r="A79">
        <v>4078</v>
      </c>
      <c r="B79">
        <v>1185</v>
      </c>
      <c r="C79">
        <v>2011</v>
      </c>
      <c r="D79">
        <v>3027</v>
      </c>
      <c r="E79">
        <v>4</v>
      </c>
      <c r="F79">
        <v>23</v>
      </c>
      <c r="G79" s="4">
        <v>45597</v>
      </c>
      <c r="H79" s="5">
        <v>22972.65</v>
      </c>
    </row>
    <row r="80" spans="1:8" x14ac:dyDescent="0.3">
      <c r="A80">
        <v>4079</v>
      </c>
      <c r="B80">
        <v>1083</v>
      </c>
      <c r="C80">
        <v>2012</v>
      </c>
      <c r="D80">
        <v>3015</v>
      </c>
      <c r="E80">
        <v>4</v>
      </c>
      <c r="F80">
        <v>7</v>
      </c>
      <c r="G80" s="4">
        <v>45593</v>
      </c>
      <c r="H80" s="5">
        <v>44344.61</v>
      </c>
    </row>
    <row r="81" spans="1:8" x14ac:dyDescent="0.3">
      <c r="A81">
        <v>4080</v>
      </c>
      <c r="B81">
        <v>1115</v>
      </c>
      <c r="C81">
        <v>2006</v>
      </c>
      <c r="D81">
        <v>3017</v>
      </c>
      <c r="E81">
        <v>4</v>
      </c>
      <c r="F81">
        <v>10</v>
      </c>
      <c r="G81" s="4">
        <v>45593</v>
      </c>
      <c r="H81" s="5">
        <v>43194.1</v>
      </c>
    </row>
    <row r="82" spans="1:8" x14ac:dyDescent="0.3">
      <c r="A82">
        <v>4081</v>
      </c>
      <c r="B82">
        <v>1244</v>
      </c>
      <c r="C82">
        <v>2013</v>
      </c>
      <c r="D82">
        <v>3028</v>
      </c>
      <c r="E82">
        <v>1</v>
      </c>
      <c r="F82">
        <v>17</v>
      </c>
      <c r="G82" s="4">
        <v>45589</v>
      </c>
      <c r="H82" s="5">
        <v>9887.02</v>
      </c>
    </row>
    <row r="83" spans="1:8" x14ac:dyDescent="0.3">
      <c r="A83">
        <v>4082</v>
      </c>
      <c r="B83">
        <v>1141</v>
      </c>
      <c r="C83">
        <v>2012</v>
      </c>
      <c r="D83">
        <v>3026</v>
      </c>
      <c r="E83">
        <v>5</v>
      </c>
      <c r="F83">
        <v>17</v>
      </c>
      <c r="G83" s="4">
        <v>45584</v>
      </c>
      <c r="H83" s="5">
        <v>49360.79</v>
      </c>
    </row>
    <row r="84" spans="1:8" x14ac:dyDescent="0.3">
      <c r="A84">
        <v>4083</v>
      </c>
      <c r="B84">
        <v>1221</v>
      </c>
      <c r="C84">
        <v>2013</v>
      </c>
      <c r="D84">
        <v>3033</v>
      </c>
      <c r="E84">
        <v>1</v>
      </c>
      <c r="F84">
        <v>9</v>
      </c>
      <c r="G84" s="4">
        <v>45597</v>
      </c>
      <c r="H84" s="5">
        <v>10835.81</v>
      </c>
    </row>
    <row r="85" spans="1:8" x14ac:dyDescent="0.3">
      <c r="A85">
        <v>4084</v>
      </c>
      <c r="B85">
        <v>1113</v>
      </c>
      <c r="C85">
        <v>2010</v>
      </c>
      <c r="D85">
        <v>3035</v>
      </c>
      <c r="E85">
        <v>5</v>
      </c>
      <c r="F85">
        <v>1</v>
      </c>
      <c r="G85" s="4">
        <v>45593</v>
      </c>
      <c r="H85" s="5">
        <v>89016.68</v>
      </c>
    </row>
    <row r="86" spans="1:8" x14ac:dyDescent="0.3">
      <c r="A86">
        <v>4085</v>
      </c>
      <c r="B86">
        <v>1165</v>
      </c>
      <c r="C86">
        <v>2021</v>
      </c>
      <c r="D86">
        <v>3031</v>
      </c>
      <c r="E86">
        <v>4</v>
      </c>
      <c r="F86">
        <v>16</v>
      </c>
      <c r="G86" s="4">
        <v>45612</v>
      </c>
      <c r="H86" s="5">
        <v>59110.06</v>
      </c>
    </row>
    <row r="87" spans="1:8" x14ac:dyDescent="0.3">
      <c r="A87">
        <v>4086</v>
      </c>
      <c r="B87">
        <v>1190</v>
      </c>
      <c r="C87">
        <v>2016</v>
      </c>
      <c r="D87">
        <v>3010</v>
      </c>
      <c r="E87">
        <v>5</v>
      </c>
      <c r="F87">
        <v>22</v>
      </c>
      <c r="G87" s="4">
        <v>45609</v>
      </c>
      <c r="H87" s="5">
        <v>47780.53</v>
      </c>
    </row>
    <row r="88" spans="1:8" x14ac:dyDescent="0.3">
      <c r="A88">
        <v>4087</v>
      </c>
      <c r="B88">
        <v>1085</v>
      </c>
      <c r="C88">
        <v>2004</v>
      </c>
      <c r="D88">
        <v>3030</v>
      </c>
      <c r="E88">
        <v>2</v>
      </c>
      <c r="F88">
        <v>6</v>
      </c>
      <c r="G88" s="4">
        <v>45595</v>
      </c>
      <c r="H88" s="5">
        <v>9349.3799999999992</v>
      </c>
    </row>
    <row r="89" spans="1:8" x14ac:dyDescent="0.3">
      <c r="A89">
        <v>4088</v>
      </c>
      <c r="B89">
        <v>1234</v>
      </c>
      <c r="C89">
        <v>2004</v>
      </c>
      <c r="D89">
        <v>3033</v>
      </c>
      <c r="E89">
        <v>1</v>
      </c>
      <c r="F89">
        <v>14</v>
      </c>
      <c r="G89" s="4">
        <v>45584</v>
      </c>
      <c r="H89" s="5">
        <v>4262.1899999999996</v>
      </c>
    </row>
    <row r="90" spans="1:8" x14ac:dyDescent="0.3">
      <c r="A90">
        <v>4089</v>
      </c>
      <c r="B90">
        <v>1043</v>
      </c>
      <c r="C90">
        <v>2023</v>
      </c>
      <c r="D90">
        <v>3012</v>
      </c>
      <c r="E90">
        <v>3</v>
      </c>
      <c r="F90">
        <v>18</v>
      </c>
      <c r="G90" s="4">
        <v>45599</v>
      </c>
      <c r="H90" s="5">
        <v>11846.45</v>
      </c>
    </row>
    <row r="91" spans="1:8" x14ac:dyDescent="0.3">
      <c r="A91">
        <v>4090</v>
      </c>
      <c r="B91">
        <v>1266</v>
      </c>
      <c r="C91">
        <v>2001</v>
      </c>
      <c r="D91">
        <v>3023</v>
      </c>
      <c r="E91">
        <v>5</v>
      </c>
      <c r="F91">
        <v>14</v>
      </c>
      <c r="G91" s="4">
        <v>45604</v>
      </c>
      <c r="H91" s="5">
        <v>31152.68</v>
      </c>
    </row>
    <row r="92" spans="1:8" x14ac:dyDescent="0.3">
      <c r="A92">
        <v>4091</v>
      </c>
      <c r="B92">
        <v>1182</v>
      </c>
      <c r="C92">
        <v>2024</v>
      </c>
      <c r="D92">
        <v>3020</v>
      </c>
      <c r="E92">
        <v>2</v>
      </c>
      <c r="F92">
        <v>28</v>
      </c>
      <c r="G92" s="4">
        <v>45604</v>
      </c>
      <c r="H92" s="5">
        <v>23399.14</v>
      </c>
    </row>
    <row r="93" spans="1:8" x14ac:dyDescent="0.3">
      <c r="A93">
        <v>4092</v>
      </c>
      <c r="B93">
        <v>1158</v>
      </c>
      <c r="C93">
        <v>2023</v>
      </c>
      <c r="D93">
        <v>3028</v>
      </c>
      <c r="E93">
        <v>1</v>
      </c>
      <c r="F93">
        <v>3</v>
      </c>
      <c r="G93" s="4">
        <v>45580</v>
      </c>
      <c r="H93" s="5">
        <v>4668.3999999999996</v>
      </c>
    </row>
    <row r="94" spans="1:8" x14ac:dyDescent="0.3">
      <c r="A94">
        <v>4093</v>
      </c>
      <c r="B94">
        <v>1089</v>
      </c>
      <c r="C94">
        <v>2008</v>
      </c>
      <c r="D94">
        <v>3013</v>
      </c>
      <c r="E94">
        <v>2</v>
      </c>
      <c r="F94">
        <v>2</v>
      </c>
      <c r="G94" s="4">
        <v>45577</v>
      </c>
      <c r="H94" s="5">
        <v>4196.3900000000003</v>
      </c>
    </row>
    <row r="95" spans="1:8" x14ac:dyDescent="0.3">
      <c r="A95">
        <v>4094</v>
      </c>
      <c r="B95">
        <v>1160</v>
      </c>
      <c r="C95">
        <v>2009</v>
      </c>
      <c r="D95">
        <v>3032</v>
      </c>
      <c r="E95">
        <v>5</v>
      </c>
      <c r="F95">
        <v>24</v>
      </c>
      <c r="G95" s="4">
        <v>45584</v>
      </c>
      <c r="H95" s="5">
        <v>41945.46</v>
      </c>
    </row>
    <row r="96" spans="1:8" x14ac:dyDescent="0.3">
      <c r="A96">
        <v>4095</v>
      </c>
      <c r="B96">
        <v>1172</v>
      </c>
      <c r="C96">
        <v>2015</v>
      </c>
      <c r="D96">
        <v>3016</v>
      </c>
      <c r="E96">
        <v>5</v>
      </c>
      <c r="F96">
        <v>25</v>
      </c>
      <c r="G96" s="4">
        <v>45616</v>
      </c>
      <c r="H96" s="5">
        <v>65742.14</v>
      </c>
    </row>
    <row r="97" spans="1:8" x14ac:dyDescent="0.3">
      <c r="A97">
        <v>4096</v>
      </c>
      <c r="B97">
        <v>1118</v>
      </c>
      <c r="C97">
        <v>2019</v>
      </c>
      <c r="D97">
        <v>3015</v>
      </c>
      <c r="E97">
        <v>3</v>
      </c>
      <c r="F97">
        <v>7</v>
      </c>
      <c r="G97" s="4">
        <v>45591</v>
      </c>
      <c r="H97" s="5">
        <v>37828.19</v>
      </c>
    </row>
    <row r="98" spans="1:8" x14ac:dyDescent="0.3">
      <c r="A98">
        <v>4097</v>
      </c>
      <c r="B98">
        <v>1245</v>
      </c>
      <c r="C98">
        <v>2013</v>
      </c>
      <c r="D98">
        <v>3028</v>
      </c>
      <c r="E98">
        <v>4</v>
      </c>
      <c r="F98">
        <v>23</v>
      </c>
      <c r="G98" s="4">
        <v>45576</v>
      </c>
      <c r="H98" s="5">
        <v>36463.65</v>
      </c>
    </row>
    <row r="99" spans="1:8" x14ac:dyDescent="0.3">
      <c r="A99">
        <v>4098</v>
      </c>
      <c r="B99">
        <v>1225</v>
      </c>
      <c r="C99">
        <v>2001</v>
      </c>
      <c r="D99">
        <v>3005</v>
      </c>
      <c r="E99">
        <v>5</v>
      </c>
      <c r="F99">
        <v>4</v>
      </c>
      <c r="G99" s="4">
        <v>45578</v>
      </c>
      <c r="H99" s="5">
        <v>34539</v>
      </c>
    </row>
    <row r="100" spans="1:8" x14ac:dyDescent="0.3">
      <c r="A100">
        <v>4099</v>
      </c>
      <c r="B100">
        <v>1273</v>
      </c>
      <c r="C100">
        <v>2018</v>
      </c>
      <c r="D100">
        <v>3007</v>
      </c>
      <c r="E100">
        <v>1</v>
      </c>
      <c r="F100">
        <v>13</v>
      </c>
      <c r="G100" s="4">
        <v>45581</v>
      </c>
      <c r="H100" s="5">
        <v>6302.86</v>
      </c>
    </row>
    <row r="101" spans="1:8" x14ac:dyDescent="0.3">
      <c r="A101">
        <v>4100</v>
      </c>
      <c r="B101">
        <v>1267</v>
      </c>
      <c r="C101">
        <v>2013</v>
      </c>
      <c r="D101">
        <v>3008</v>
      </c>
      <c r="E101">
        <v>4</v>
      </c>
      <c r="F101">
        <v>9</v>
      </c>
      <c r="G101" s="4">
        <v>45580</v>
      </c>
      <c r="H101" s="5">
        <v>43314.8</v>
      </c>
    </row>
    <row r="102" spans="1:8" x14ac:dyDescent="0.3">
      <c r="A102">
        <v>4101</v>
      </c>
      <c r="B102">
        <v>1188</v>
      </c>
      <c r="C102">
        <v>2001</v>
      </c>
      <c r="D102">
        <v>3024</v>
      </c>
      <c r="E102">
        <v>3</v>
      </c>
      <c r="F102">
        <v>6</v>
      </c>
      <c r="G102" s="4">
        <v>45581</v>
      </c>
      <c r="H102" s="5">
        <v>20413.32</v>
      </c>
    </row>
    <row r="103" spans="1:8" x14ac:dyDescent="0.3">
      <c r="A103">
        <v>4102</v>
      </c>
      <c r="B103">
        <v>1012</v>
      </c>
      <c r="C103">
        <v>2016</v>
      </c>
      <c r="D103">
        <v>3021</v>
      </c>
      <c r="E103">
        <v>4</v>
      </c>
      <c r="F103">
        <v>13</v>
      </c>
      <c r="G103" s="4">
        <v>45579</v>
      </c>
      <c r="H103" s="5">
        <v>42494.43</v>
      </c>
    </row>
    <row r="104" spans="1:8" x14ac:dyDescent="0.3">
      <c r="A104">
        <v>4103</v>
      </c>
      <c r="B104">
        <v>1025</v>
      </c>
      <c r="C104">
        <v>2022</v>
      </c>
      <c r="D104">
        <v>3002</v>
      </c>
      <c r="E104">
        <v>1</v>
      </c>
      <c r="F104">
        <v>5</v>
      </c>
      <c r="G104" s="4">
        <v>45607</v>
      </c>
      <c r="H104" s="5">
        <v>16252.11</v>
      </c>
    </row>
    <row r="105" spans="1:8" x14ac:dyDescent="0.3">
      <c r="A105">
        <v>4104</v>
      </c>
      <c r="B105">
        <v>1115</v>
      </c>
      <c r="C105">
        <v>2018</v>
      </c>
      <c r="D105">
        <v>3015</v>
      </c>
      <c r="E105">
        <v>4</v>
      </c>
      <c r="F105">
        <v>13</v>
      </c>
      <c r="G105" s="4">
        <v>45600</v>
      </c>
      <c r="H105" s="5">
        <v>25220.13</v>
      </c>
    </row>
    <row r="106" spans="1:8" x14ac:dyDescent="0.3">
      <c r="A106">
        <v>4105</v>
      </c>
      <c r="B106">
        <v>1046</v>
      </c>
      <c r="C106">
        <v>2004</v>
      </c>
      <c r="D106">
        <v>3020</v>
      </c>
      <c r="E106">
        <v>5</v>
      </c>
      <c r="F106">
        <v>11</v>
      </c>
      <c r="G106" s="4">
        <v>45610</v>
      </c>
      <c r="H106" s="5">
        <v>21927.46</v>
      </c>
    </row>
    <row r="107" spans="1:8" x14ac:dyDescent="0.3">
      <c r="A107">
        <v>4106</v>
      </c>
      <c r="B107">
        <v>1084</v>
      </c>
      <c r="C107">
        <v>2025</v>
      </c>
      <c r="D107">
        <v>3001</v>
      </c>
      <c r="E107">
        <v>1</v>
      </c>
      <c r="F107">
        <v>14</v>
      </c>
      <c r="G107" s="4">
        <v>45596</v>
      </c>
      <c r="H107" s="5">
        <v>14682.29</v>
      </c>
    </row>
    <row r="108" spans="1:8" x14ac:dyDescent="0.3">
      <c r="A108">
        <v>4107</v>
      </c>
      <c r="B108">
        <v>1099</v>
      </c>
      <c r="C108">
        <v>2006</v>
      </c>
      <c r="D108">
        <v>3035</v>
      </c>
      <c r="E108">
        <v>5</v>
      </c>
      <c r="F108">
        <v>24</v>
      </c>
      <c r="G108" s="4">
        <v>45601</v>
      </c>
      <c r="H108" s="5">
        <v>46002.87</v>
      </c>
    </row>
    <row r="109" spans="1:8" x14ac:dyDescent="0.3">
      <c r="A109">
        <v>4108</v>
      </c>
      <c r="B109">
        <v>1059</v>
      </c>
      <c r="C109">
        <v>2021</v>
      </c>
      <c r="D109">
        <v>3014</v>
      </c>
      <c r="E109">
        <v>2</v>
      </c>
      <c r="F109">
        <v>7</v>
      </c>
      <c r="G109" s="4">
        <v>45612</v>
      </c>
      <c r="H109" s="5">
        <v>32709.96</v>
      </c>
    </row>
    <row r="110" spans="1:8" x14ac:dyDescent="0.3">
      <c r="A110">
        <v>4109</v>
      </c>
      <c r="B110">
        <v>1159</v>
      </c>
      <c r="C110">
        <v>2021</v>
      </c>
      <c r="D110">
        <v>3016</v>
      </c>
      <c r="E110">
        <v>2</v>
      </c>
      <c r="F110">
        <v>7</v>
      </c>
      <c r="G110" s="4">
        <v>45606</v>
      </c>
      <c r="H110" s="5">
        <v>32847.129999999997</v>
      </c>
    </row>
    <row r="111" spans="1:8" x14ac:dyDescent="0.3">
      <c r="A111">
        <v>4110</v>
      </c>
      <c r="B111">
        <v>1134</v>
      </c>
      <c r="C111">
        <v>2013</v>
      </c>
      <c r="D111">
        <v>3031</v>
      </c>
      <c r="E111">
        <v>1</v>
      </c>
      <c r="F111">
        <v>28</v>
      </c>
      <c r="G111" s="4">
        <v>45612</v>
      </c>
      <c r="H111" s="5">
        <v>8491.68</v>
      </c>
    </row>
    <row r="112" spans="1:8" x14ac:dyDescent="0.3">
      <c r="A112">
        <v>4111</v>
      </c>
      <c r="B112">
        <v>1258</v>
      </c>
      <c r="C112">
        <v>2015</v>
      </c>
      <c r="D112">
        <v>3028</v>
      </c>
      <c r="E112">
        <v>2</v>
      </c>
      <c r="F112">
        <v>24</v>
      </c>
      <c r="G112" s="4">
        <v>45599</v>
      </c>
      <c r="H112" s="5">
        <v>26666.54</v>
      </c>
    </row>
    <row r="113" spans="1:8" x14ac:dyDescent="0.3">
      <c r="A113">
        <v>4112</v>
      </c>
      <c r="B113">
        <v>1265</v>
      </c>
      <c r="C113">
        <v>2011</v>
      </c>
      <c r="D113">
        <v>3014</v>
      </c>
      <c r="E113">
        <v>2</v>
      </c>
      <c r="F113">
        <v>5</v>
      </c>
      <c r="G113" s="4">
        <v>45602</v>
      </c>
      <c r="H113" s="5">
        <v>14154.05</v>
      </c>
    </row>
    <row r="114" spans="1:8" x14ac:dyDescent="0.3">
      <c r="A114">
        <v>4113</v>
      </c>
      <c r="B114">
        <v>1146</v>
      </c>
      <c r="C114">
        <v>2018</v>
      </c>
      <c r="D114">
        <v>3029</v>
      </c>
      <c r="E114">
        <v>2</v>
      </c>
      <c r="F114">
        <v>10</v>
      </c>
      <c r="G114" s="4">
        <v>45602</v>
      </c>
      <c r="H114" s="5">
        <v>13030.16</v>
      </c>
    </row>
    <row r="115" spans="1:8" x14ac:dyDescent="0.3">
      <c r="A115">
        <v>4114</v>
      </c>
      <c r="B115">
        <v>1087</v>
      </c>
      <c r="C115">
        <v>2010</v>
      </c>
      <c r="D115">
        <v>3020</v>
      </c>
      <c r="E115">
        <v>2</v>
      </c>
      <c r="F115">
        <v>28</v>
      </c>
      <c r="G115" s="4">
        <v>45576</v>
      </c>
      <c r="H115" s="5">
        <v>25620.62</v>
      </c>
    </row>
    <row r="116" spans="1:8" x14ac:dyDescent="0.3">
      <c r="A116">
        <v>4115</v>
      </c>
      <c r="B116">
        <v>1055</v>
      </c>
      <c r="C116">
        <v>2009</v>
      </c>
      <c r="D116">
        <v>3022</v>
      </c>
      <c r="E116">
        <v>1</v>
      </c>
      <c r="F116">
        <v>13</v>
      </c>
      <c r="G116" s="4">
        <v>45582</v>
      </c>
      <c r="H116" s="5">
        <v>9618.6200000000008</v>
      </c>
    </row>
    <row r="117" spans="1:8" x14ac:dyDescent="0.3">
      <c r="A117">
        <v>4116</v>
      </c>
      <c r="B117">
        <v>1052</v>
      </c>
      <c r="C117">
        <v>2022</v>
      </c>
      <c r="D117">
        <v>3034</v>
      </c>
      <c r="E117">
        <v>5</v>
      </c>
      <c r="F117">
        <v>24</v>
      </c>
      <c r="G117" s="4">
        <v>45583</v>
      </c>
      <c r="H117" s="5">
        <v>65432.01</v>
      </c>
    </row>
    <row r="118" spans="1:8" x14ac:dyDescent="0.3">
      <c r="A118">
        <v>4117</v>
      </c>
      <c r="B118">
        <v>1220</v>
      </c>
      <c r="C118">
        <v>2006</v>
      </c>
      <c r="D118">
        <v>3001</v>
      </c>
      <c r="E118">
        <v>2</v>
      </c>
      <c r="F118">
        <v>15</v>
      </c>
      <c r="G118" s="4">
        <v>45608</v>
      </c>
      <c r="H118" s="5">
        <v>20530.939999999999</v>
      </c>
    </row>
    <row r="119" spans="1:8" x14ac:dyDescent="0.3">
      <c r="A119">
        <v>4118</v>
      </c>
      <c r="B119">
        <v>1120</v>
      </c>
      <c r="C119">
        <v>2005</v>
      </c>
      <c r="D119">
        <v>3012</v>
      </c>
      <c r="E119">
        <v>4</v>
      </c>
      <c r="F119">
        <v>30</v>
      </c>
      <c r="G119" s="4">
        <v>45615</v>
      </c>
      <c r="H119" s="5">
        <v>10738.31</v>
      </c>
    </row>
    <row r="120" spans="1:8" x14ac:dyDescent="0.3">
      <c r="A120">
        <v>4119</v>
      </c>
      <c r="B120">
        <v>1142</v>
      </c>
      <c r="C120">
        <v>2011</v>
      </c>
      <c r="D120">
        <v>3007</v>
      </c>
      <c r="E120">
        <v>5</v>
      </c>
      <c r="F120">
        <v>1</v>
      </c>
      <c r="G120" s="4">
        <v>45585</v>
      </c>
      <c r="H120" s="5">
        <v>37045.910000000003</v>
      </c>
    </row>
    <row r="121" spans="1:8" x14ac:dyDescent="0.3">
      <c r="A121">
        <v>4120</v>
      </c>
      <c r="B121">
        <v>1014</v>
      </c>
      <c r="C121">
        <v>2001</v>
      </c>
      <c r="D121">
        <v>3007</v>
      </c>
      <c r="E121">
        <v>3</v>
      </c>
      <c r="F121">
        <v>21</v>
      </c>
      <c r="G121" s="4">
        <v>45582</v>
      </c>
      <c r="H121" s="5">
        <v>17191.080000000002</v>
      </c>
    </row>
    <row r="122" spans="1:8" x14ac:dyDescent="0.3">
      <c r="A122">
        <v>4121</v>
      </c>
      <c r="B122">
        <v>1231</v>
      </c>
      <c r="C122">
        <v>2004</v>
      </c>
      <c r="D122">
        <v>3009</v>
      </c>
      <c r="E122">
        <v>3</v>
      </c>
      <c r="F122">
        <v>13</v>
      </c>
      <c r="G122" s="4">
        <v>45606</v>
      </c>
      <c r="H122" s="5">
        <v>12875.7</v>
      </c>
    </row>
    <row r="123" spans="1:8" x14ac:dyDescent="0.3">
      <c r="A123">
        <v>4122</v>
      </c>
      <c r="B123">
        <v>1007</v>
      </c>
      <c r="C123">
        <v>2024</v>
      </c>
      <c r="D123">
        <v>3004</v>
      </c>
      <c r="E123">
        <v>4</v>
      </c>
      <c r="F123">
        <v>24</v>
      </c>
      <c r="G123" s="4">
        <v>45611</v>
      </c>
      <c r="H123" s="5">
        <v>49180.49</v>
      </c>
    </row>
    <row r="124" spans="1:8" x14ac:dyDescent="0.3">
      <c r="A124">
        <v>4123</v>
      </c>
      <c r="B124">
        <v>1129</v>
      </c>
      <c r="C124">
        <v>2017</v>
      </c>
      <c r="D124">
        <v>3014</v>
      </c>
      <c r="E124">
        <v>1</v>
      </c>
      <c r="F124">
        <v>27</v>
      </c>
      <c r="G124" s="4">
        <v>45609</v>
      </c>
      <c r="H124" s="5">
        <v>5943.85</v>
      </c>
    </row>
    <row r="125" spans="1:8" x14ac:dyDescent="0.3">
      <c r="A125">
        <v>4124</v>
      </c>
      <c r="B125">
        <v>1054</v>
      </c>
      <c r="C125">
        <v>2017</v>
      </c>
      <c r="D125">
        <v>3014</v>
      </c>
      <c r="E125">
        <v>3</v>
      </c>
      <c r="F125">
        <v>16</v>
      </c>
      <c r="G125" s="4">
        <v>45601</v>
      </c>
      <c r="H125" s="5">
        <v>20621.349999999999</v>
      </c>
    </row>
    <row r="126" spans="1:8" x14ac:dyDescent="0.3">
      <c r="A126">
        <v>4125</v>
      </c>
      <c r="B126">
        <v>1104</v>
      </c>
      <c r="C126">
        <v>2011</v>
      </c>
      <c r="D126">
        <v>3032</v>
      </c>
      <c r="E126">
        <v>1</v>
      </c>
      <c r="F126">
        <v>5</v>
      </c>
      <c r="G126" s="4">
        <v>45605</v>
      </c>
      <c r="H126" s="5">
        <v>7077.77</v>
      </c>
    </row>
    <row r="127" spans="1:8" x14ac:dyDescent="0.3">
      <c r="A127">
        <v>4126</v>
      </c>
      <c r="B127">
        <v>1169</v>
      </c>
      <c r="C127">
        <v>2008</v>
      </c>
      <c r="D127">
        <v>3029</v>
      </c>
      <c r="E127">
        <v>3</v>
      </c>
      <c r="F127">
        <v>8</v>
      </c>
      <c r="G127" s="4">
        <v>45597</v>
      </c>
      <c r="H127" s="5">
        <v>5926.76</v>
      </c>
    </row>
    <row r="128" spans="1:8" x14ac:dyDescent="0.3">
      <c r="A128">
        <v>4127</v>
      </c>
      <c r="B128">
        <v>1207</v>
      </c>
      <c r="C128">
        <v>2024</v>
      </c>
      <c r="D128">
        <v>3035</v>
      </c>
      <c r="E128">
        <v>1</v>
      </c>
      <c r="F128">
        <v>29</v>
      </c>
      <c r="G128" s="4">
        <v>45596</v>
      </c>
      <c r="H128" s="5">
        <v>11632.85</v>
      </c>
    </row>
    <row r="129" spans="1:8" x14ac:dyDescent="0.3">
      <c r="A129">
        <v>4128</v>
      </c>
      <c r="B129">
        <v>1137</v>
      </c>
      <c r="C129">
        <v>2010</v>
      </c>
      <c r="D129">
        <v>3016</v>
      </c>
      <c r="E129">
        <v>5</v>
      </c>
      <c r="F129">
        <v>9</v>
      </c>
      <c r="G129" s="4">
        <v>45588</v>
      </c>
      <c r="H129" s="5">
        <v>81727.72</v>
      </c>
    </row>
    <row r="130" spans="1:8" x14ac:dyDescent="0.3">
      <c r="A130">
        <v>4129</v>
      </c>
      <c r="B130">
        <v>1162</v>
      </c>
      <c r="C130">
        <v>2010</v>
      </c>
      <c r="D130">
        <v>3025</v>
      </c>
      <c r="E130">
        <v>5</v>
      </c>
      <c r="F130">
        <v>14</v>
      </c>
      <c r="G130" s="4">
        <v>45586</v>
      </c>
      <c r="H130" s="5">
        <v>77331.06</v>
      </c>
    </row>
    <row r="131" spans="1:8" x14ac:dyDescent="0.3">
      <c r="A131">
        <v>4130</v>
      </c>
      <c r="B131">
        <v>1134</v>
      </c>
      <c r="C131">
        <v>2003</v>
      </c>
      <c r="D131">
        <v>3007</v>
      </c>
      <c r="E131">
        <v>5</v>
      </c>
      <c r="F131">
        <v>4</v>
      </c>
      <c r="G131" s="4">
        <v>45594</v>
      </c>
      <c r="H131" s="5">
        <v>63285.36</v>
      </c>
    </row>
    <row r="132" spans="1:8" x14ac:dyDescent="0.3">
      <c r="A132">
        <v>4131</v>
      </c>
      <c r="B132">
        <v>1111</v>
      </c>
      <c r="C132">
        <v>2016</v>
      </c>
      <c r="D132">
        <v>3017</v>
      </c>
      <c r="E132">
        <v>2</v>
      </c>
      <c r="F132">
        <v>7</v>
      </c>
      <c r="G132" s="4">
        <v>45609</v>
      </c>
      <c r="H132" s="5">
        <v>22770.12</v>
      </c>
    </row>
    <row r="133" spans="1:8" x14ac:dyDescent="0.3">
      <c r="A133">
        <v>4132</v>
      </c>
      <c r="B133">
        <v>1141</v>
      </c>
      <c r="C133">
        <v>2022</v>
      </c>
      <c r="D133">
        <v>3018</v>
      </c>
      <c r="E133">
        <v>2</v>
      </c>
      <c r="F133">
        <v>27</v>
      </c>
      <c r="G133" s="4">
        <v>45610</v>
      </c>
      <c r="H133" s="5">
        <v>24972.37</v>
      </c>
    </row>
    <row r="134" spans="1:8" x14ac:dyDescent="0.3">
      <c r="A134">
        <v>4133</v>
      </c>
      <c r="B134">
        <v>1041</v>
      </c>
      <c r="C134">
        <v>2021</v>
      </c>
      <c r="D134">
        <v>3002</v>
      </c>
      <c r="E134">
        <v>2</v>
      </c>
      <c r="F134">
        <v>15</v>
      </c>
      <c r="G134" s="4">
        <v>45594</v>
      </c>
      <c r="H134" s="5">
        <v>29892.68</v>
      </c>
    </row>
    <row r="135" spans="1:8" x14ac:dyDescent="0.3">
      <c r="A135">
        <v>4134</v>
      </c>
      <c r="B135">
        <v>1145</v>
      </c>
      <c r="C135">
        <v>2010</v>
      </c>
      <c r="D135">
        <v>3011</v>
      </c>
      <c r="E135">
        <v>5</v>
      </c>
      <c r="F135">
        <v>21</v>
      </c>
      <c r="G135" s="4">
        <v>45589</v>
      </c>
      <c r="H135" s="5">
        <v>70785.320000000007</v>
      </c>
    </row>
    <row r="136" spans="1:8" x14ac:dyDescent="0.3">
      <c r="A136">
        <v>4135</v>
      </c>
      <c r="B136">
        <v>1150</v>
      </c>
      <c r="C136">
        <v>2021</v>
      </c>
      <c r="D136">
        <v>3019</v>
      </c>
      <c r="E136">
        <v>3</v>
      </c>
      <c r="F136">
        <v>29</v>
      </c>
      <c r="G136" s="4">
        <v>45601</v>
      </c>
      <c r="H136" s="5">
        <v>37468.730000000003</v>
      </c>
    </row>
    <row r="137" spans="1:8" x14ac:dyDescent="0.3">
      <c r="A137">
        <v>4136</v>
      </c>
      <c r="B137">
        <v>1236</v>
      </c>
      <c r="C137">
        <v>2023</v>
      </c>
      <c r="D137">
        <v>3028</v>
      </c>
      <c r="E137">
        <v>3</v>
      </c>
      <c r="F137">
        <v>6</v>
      </c>
      <c r="G137" s="4">
        <v>45598</v>
      </c>
      <c r="H137" s="5">
        <v>13462.99</v>
      </c>
    </row>
    <row r="138" spans="1:8" x14ac:dyDescent="0.3">
      <c r="A138">
        <v>4137</v>
      </c>
      <c r="B138">
        <v>1213</v>
      </c>
      <c r="C138">
        <v>2012</v>
      </c>
      <c r="D138">
        <v>3034</v>
      </c>
      <c r="E138">
        <v>1</v>
      </c>
      <c r="F138">
        <v>13</v>
      </c>
      <c r="G138" s="4">
        <v>45615</v>
      </c>
      <c r="H138" s="5">
        <v>10283.94</v>
      </c>
    </row>
    <row r="139" spans="1:8" x14ac:dyDescent="0.3">
      <c r="A139">
        <v>4138</v>
      </c>
      <c r="B139">
        <v>1110</v>
      </c>
      <c r="C139">
        <v>2018</v>
      </c>
      <c r="D139">
        <v>3030</v>
      </c>
      <c r="E139">
        <v>5</v>
      </c>
      <c r="F139">
        <v>23</v>
      </c>
      <c r="G139" s="4">
        <v>45586</v>
      </c>
      <c r="H139" s="5">
        <v>27863.82</v>
      </c>
    </row>
    <row r="140" spans="1:8" x14ac:dyDescent="0.3">
      <c r="A140">
        <v>4139</v>
      </c>
      <c r="B140">
        <v>1068</v>
      </c>
      <c r="C140">
        <v>2025</v>
      </c>
      <c r="D140">
        <v>3035</v>
      </c>
      <c r="E140">
        <v>2</v>
      </c>
      <c r="F140">
        <v>27</v>
      </c>
      <c r="G140" s="4">
        <v>45591</v>
      </c>
      <c r="H140" s="5">
        <v>24977.08</v>
      </c>
    </row>
    <row r="141" spans="1:8" x14ac:dyDescent="0.3">
      <c r="A141">
        <v>4140</v>
      </c>
      <c r="B141">
        <v>1225</v>
      </c>
      <c r="C141">
        <v>2020</v>
      </c>
      <c r="D141">
        <v>3029</v>
      </c>
      <c r="E141">
        <v>4</v>
      </c>
      <c r="F141">
        <v>24</v>
      </c>
      <c r="G141" s="4">
        <v>45599</v>
      </c>
      <c r="H141" s="5">
        <v>13634.23</v>
      </c>
    </row>
    <row r="142" spans="1:8" x14ac:dyDescent="0.3">
      <c r="A142">
        <v>4141</v>
      </c>
      <c r="B142">
        <v>1300</v>
      </c>
      <c r="C142">
        <v>2009</v>
      </c>
      <c r="D142">
        <v>3021</v>
      </c>
      <c r="E142">
        <v>2</v>
      </c>
      <c r="F142">
        <v>12</v>
      </c>
      <c r="G142" s="4">
        <v>45578</v>
      </c>
      <c r="H142" s="5">
        <v>19352.13</v>
      </c>
    </row>
    <row r="143" spans="1:8" x14ac:dyDescent="0.3">
      <c r="A143">
        <v>4142</v>
      </c>
      <c r="B143">
        <v>1171</v>
      </c>
      <c r="C143">
        <v>2010</v>
      </c>
      <c r="D143">
        <v>3002</v>
      </c>
      <c r="E143">
        <v>1</v>
      </c>
      <c r="F143">
        <v>27</v>
      </c>
      <c r="G143" s="4">
        <v>45616</v>
      </c>
      <c r="H143" s="5">
        <v>13139.83</v>
      </c>
    </row>
    <row r="144" spans="1:8" x14ac:dyDescent="0.3">
      <c r="A144">
        <v>4143</v>
      </c>
      <c r="B144">
        <v>1253</v>
      </c>
      <c r="C144">
        <v>2007</v>
      </c>
      <c r="D144">
        <v>3019</v>
      </c>
      <c r="E144">
        <v>4</v>
      </c>
      <c r="F144">
        <v>10</v>
      </c>
      <c r="G144" s="4">
        <v>45612</v>
      </c>
      <c r="H144" s="5">
        <v>12272.28</v>
      </c>
    </row>
    <row r="145" spans="1:8" x14ac:dyDescent="0.3">
      <c r="A145">
        <v>4144</v>
      </c>
      <c r="B145">
        <v>1068</v>
      </c>
      <c r="C145">
        <v>2018</v>
      </c>
      <c r="D145">
        <v>3010</v>
      </c>
      <c r="E145">
        <v>2</v>
      </c>
      <c r="F145">
        <v>5</v>
      </c>
      <c r="G145" s="4">
        <v>45575</v>
      </c>
      <c r="H145" s="5">
        <v>13774.74</v>
      </c>
    </row>
    <row r="146" spans="1:8" x14ac:dyDescent="0.3">
      <c r="A146">
        <v>4145</v>
      </c>
      <c r="B146">
        <v>1139</v>
      </c>
      <c r="C146">
        <v>2024</v>
      </c>
      <c r="D146">
        <v>3024</v>
      </c>
      <c r="E146">
        <v>5</v>
      </c>
      <c r="F146">
        <v>14</v>
      </c>
      <c r="G146" s="4">
        <v>45608</v>
      </c>
      <c r="H146" s="5">
        <v>69912.649999999994</v>
      </c>
    </row>
    <row r="147" spans="1:8" x14ac:dyDescent="0.3">
      <c r="A147">
        <v>4146</v>
      </c>
      <c r="B147">
        <v>1185</v>
      </c>
      <c r="C147">
        <v>2021</v>
      </c>
      <c r="D147">
        <v>3005</v>
      </c>
      <c r="E147">
        <v>2</v>
      </c>
      <c r="F147">
        <v>15</v>
      </c>
      <c r="G147" s="4">
        <v>45589</v>
      </c>
      <c r="H147" s="5">
        <v>30008.75</v>
      </c>
    </row>
    <row r="148" spans="1:8" x14ac:dyDescent="0.3">
      <c r="A148">
        <v>4147</v>
      </c>
      <c r="B148">
        <v>1147</v>
      </c>
      <c r="C148">
        <v>2005</v>
      </c>
      <c r="D148">
        <v>3002</v>
      </c>
      <c r="E148">
        <v>3</v>
      </c>
      <c r="F148">
        <v>21</v>
      </c>
      <c r="G148" s="4">
        <v>45600</v>
      </c>
      <c r="H148" s="5">
        <v>9095.33</v>
      </c>
    </row>
    <row r="149" spans="1:8" x14ac:dyDescent="0.3">
      <c r="A149">
        <v>4148</v>
      </c>
      <c r="B149">
        <v>1056</v>
      </c>
      <c r="C149">
        <v>2009</v>
      </c>
      <c r="D149">
        <v>3010</v>
      </c>
      <c r="E149">
        <v>3</v>
      </c>
      <c r="F149">
        <v>28</v>
      </c>
      <c r="G149" s="4">
        <v>45594</v>
      </c>
      <c r="H149" s="5">
        <v>23861.52</v>
      </c>
    </row>
    <row r="150" spans="1:8" x14ac:dyDescent="0.3">
      <c r="A150">
        <v>4149</v>
      </c>
      <c r="B150">
        <v>1096</v>
      </c>
      <c r="C150">
        <v>2002</v>
      </c>
      <c r="D150">
        <v>3012</v>
      </c>
      <c r="E150">
        <v>4</v>
      </c>
      <c r="F150">
        <v>21</v>
      </c>
      <c r="G150" s="4">
        <v>45616</v>
      </c>
      <c r="H150" s="5">
        <v>30135.07</v>
      </c>
    </row>
    <row r="151" spans="1:8" x14ac:dyDescent="0.3">
      <c r="A151">
        <v>4150</v>
      </c>
      <c r="B151">
        <v>1134</v>
      </c>
      <c r="C151">
        <v>2004</v>
      </c>
      <c r="D151">
        <v>3027</v>
      </c>
      <c r="E151">
        <v>4</v>
      </c>
      <c r="F151">
        <v>24</v>
      </c>
      <c r="G151" s="4">
        <v>45610</v>
      </c>
      <c r="H151" s="5">
        <v>15119.45</v>
      </c>
    </row>
    <row r="152" spans="1:8" x14ac:dyDescent="0.3">
      <c r="A152">
        <v>4151</v>
      </c>
      <c r="B152">
        <v>1232</v>
      </c>
      <c r="C152">
        <v>2007</v>
      </c>
      <c r="D152">
        <v>3008</v>
      </c>
      <c r="E152">
        <v>1</v>
      </c>
      <c r="F152">
        <v>30</v>
      </c>
      <c r="G152" s="4">
        <v>45609</v>
      </c>
      <c r="H152" s="5">
        <v>2402.0500000000002</v>
      </c>
    </row>
    <row r="153" spans="1:8" x14ac:dyDescent="0.3">
      <c r="A153">
        <v>4152</v>
      </c>
      <c r="B153">
        <v>1269</v>
      </c>
      <c r="C153">
        <v>2017</v>
      </c>
      <c r="D153">
        <v>3006</v>
      </c>
      <c r="E153">
        <v>4</v>
      </c>
      <c r="F153">
        <v>4</v>
      </c>
      <c r="G153" s="4">
        <v>45590</v>
      </c>
      <c r="H153" s="5">
        <v>31313.09</v>
      </c>
    </row>
    <row r="154" spans="1:8" x14ac:dyDescent="0.3">
      <c r="A154">
        <v>4153</v>
      </c>
      <c r="B154">
        <v>1050</v>
      </c>
      <c r="C154">
        <v>2016</v>
      </c>
      <c r="D154">
        <v>3029</v>
      </c>
      <c r="E154">
        <v>4</v>
      </c>
      <c r="F154">
        <v>30</v>
      </c>
      <c r="G154" s="4">
        <v>45589</v>
      </c>
      <c r="H154" s="5">
        <v>34370.639999999999</v>
      </c>
    </row>
    <row r="155" spans="1:8" x14ac:dyDescent="0.3">
      <c r="A155">
        <v>4154</v>
      </c>
      <c r="B155">
        <v>1257</v>
      </c>
      <c r="C155">
        <v>2010</v>
      </c>
      <c r="D155">
        <v>3026</v>
      </c>
      <c r="E155">
        <v>4</v>
      </c>
      <c r="F155">
        <v>26</v>
      </c>
      <c r="G155" s="4">
        <v>45583</v>
      </c>
      <c r="H155" s="5">
        <v>53125.26</v>
      </c>
    </row>
    <row r="156" spans="1:8" x14ac:dyDescent="0.3">
      <c r="A156">
        <v>4155</v>
      </c>
      <c r="B156">
        <v>1189</v>
      </c>
      <c r="C156">
        <v>2010</v>
      </c>
      <c r="D156">
        <v>3017</v>
      </c>
      <c r="E156">
        <v>2</v>
      </c>
      <c r="F156">
        <v>1</v>
      </c>
      <c r="G156" s="4">
        <v>45599</v>
      </c>
      <c r="H156" s="5">
        <v>35545.78</v>
      </c>
    </row>
    <row r="157" spans="1:8" x14ac:dyDescent="0.3">
      <c r="A157">
        <v>4156</v>
      </c>
      <c r="B157">
        <v>1018</v>
      </c>
      <c r="C157">
        <v>2001</v>
      </c>
      <c r="D157">
        <v>3008</v>
      </c>
      <c r="E157">
        <v>4</v>
      </c>
      <c r="F157">
        <v>9</v>
      </c>
      <c r="G157" s="4">
        <v>45598</v>
      </c>
      <c r="H157" s="5">
        <v>26414</v>
      </c>
    </row>
    <row r="158" spans="1:8" x14ac:dyDescent="0.3">
      <c r="A158">
        <v>4157</v>
      </c>
      <c r="B158">
        <v>1096</v>
      </c>
      <c r="C158">
        <v>2019</v>
      </c>
      <c r="D158">
        <v>3031</v>
      </c>
      <c r="E158">
        <v>5</v>
      </c>
      <c r="F158">
        <v>2</v>
      </c>
      <c r="G158" s="4">
        <v>45607</v>
      </c>
      <c r="H158" s="5">
        <v>67078.5</v>
      </c>
    </row>
    <row r="159" spans="1:8" x14ac:dyDescent="0.3">
      <c r="A159">
        <v>4158</v>
      </c>
      <c r="B159">
        <v>1207</v>
      </c>
      <c r="C159">
        <v>2025</v>
      </c>
      <c r="D159">
        <v>3003</v>
      </c>
      <c r="E159">
        <v>3</v>
      </c>
      <c r="F159">
        <v>2</v>
      </c>
      <c r="G159" s="4">
        <v>45599</v>
      </c>
      <c r="H159" s="5">
        <v>50265.62</v>
      </c>
    </row>
    <row r="160" spans="1:8" x14ac:dyDescent="0.3">
      <c r="A160">
        <v>4159</v>
      </c>
      <c r="B160">
        <v>1068</v>
      </c>
      <c r="C160">
        <v>2025</v>
      </c>
      <c r="D160">
        <v>3024</v>
      </c>
      <c r="E160">
        <v>1</v>
      </c>
      <c r="F160">
        <v>11</v>
      </c>
      <c r="G160" s="4">
        <v>45594</v>
      </c>
      <c r="H160" s="5">
        <v>15099.26</v>
      </c>
    </row>
    <row r="161" spans="1:8" x14ac:dyDescent="0.3">
      <c r="A161">
        <v>4160</v>
      </c>
      <c r="B161">
        <v>1232</v>
      </c>
      <c r="C161">
        <v>2014</v>
      </c>
      <c r="D161">
        <v>3015</v>
      </c>
      <c r="E161">
        <v>4</v>
      </c>
      <c r="F161">
        <v>10</v>
      </c>
      <c r="G161" s="4">
        <v>45591</v>
      </c>
      <c r="H161" s="5">
        <v>49707.51</v>
      </c>
    </row>
    <row r="162" spans="1:8" x14ac:dyDescent="0.3">
      <c r="A162">
        <v>4161</v>
      </c>
      <c r="B162">
        <v>1146</v>
      </c>
      <c r="C162">
        <v>2009</v>
      </c>
      <c r="D162">
        <v>3004</v>
      </c>
      <c r="E162">
        <v>1</v>
      </c>
      <c r="F162">
        <v>2</v>
      </c>
      <c r="G162" s="4">
        <v>45586</v>
      </c>
      <c r="H162" s="5">
        <v>10795.13</v>
      </c>
    </row>
    <row r="163" spans="1:8" x14ac:dyDescent="0.3">
      <c r="A163">
        <v>4162</v>
      </c>
      <c r="B163">
        <v>1225</v>
      </c>
      <c r="C163">
        <v>2020</v>
      </c>
      <c r="D163">
        <v>3011</v>
      </c>
      <c r="E163">
        <v>5</v>
      </c>
      <c r="F163">
        <v>24</v>
      </c>
      <c r="G163" s="4">
        <v>45577</v>
      </c>
      <c r="H163" s="5">
        <v>17152.919999999998</v>
      </c>
    </row>
    <row r="164" spans="1:8" x14ac:dyDescent="0.3">
      <c r="A164">
        <v>4163</v>
      </c>
      <c r="B164">
        <v>1135</v>
      </c>
      <c r="C164">
        <v>2010</v>
      </c>
      <c r="D164">
        <v>3019</v>
      </c>
      <c r="E164">
        <v>5</v>
      </c>
      <c r="F164">
        <v>17</v>
      </c>
      <c r="G164" s="4">
        <v>45588</v>
      </c>
      <c r="H164" s="5">
        <v>74680.53</v>
      </c>
    </row>
    <row r="165" spans="1:8" x14ac:dyDescent="0.3">
      <c r="A165">
        <v>4164</v>
      </c>
      <c r="B165">
        <v>1279</v>
      </c>
      <c r="C165">
        <v>2017</v>
      </c>
      <c r="D165">
        <v>3014</v>
      </c>
      <c r="E165">
        <v>5</v>
      </c>
      <c r="F165">
        <v>23</v>
      </c>
      <c r="G165" s="4">
        <v>45608</v>
      </c>
      <c r="H165" s="5">
        <v>31675.73</v>
      </c>
    </row>
    <row r="166" spans="1:8" x14ac:dyDescent="0.3">
      <c r="A166">
        <v>4165</v>
      </c>
      <c r="B166">
        <v>1002</v>
      </c>
      <c r="C166">
        <v>2021</v>
      </c>
      <c r="D166">
        <v>3029</v>
      </c>
      <c r="E166">
        <v>5</v>
      </c>
      <c r="F166">
        <v>12</v>
      </c>
      <c r="G166" s="4">
        <v>45598</v>
      </c>
      <c r="H166" s="5">
        <v>77000.3</v>
      </c>
    </row>
    <row r="167" spans="1:8" x14ac:dyDescent="0.3">
      <c r="A167">
        <v>4166</v>
      </c>
      <c r="B167">
        <v>1165</v>
      </c>
      <c r="C167">
        <v>2009</v>
      </c>
      <c r="D167">
        <v>3035</v>
      </c>
      <c r="E167">
        <v>5</v>
      </c>
      <c r="F167">
        <v>6</v>
      </c>
      <c r="G167" s="4">
        <v>45575</v>
      </c>
      <c r="H167" s="5">
        <v>51810.43</v>
      </c>
    </row>
    <row r="168" spans="1:8" x14ac:dyDescent="0.3">
      <c r="A168">
        <v>4167</v>
      </c>
      <c r="B168">
        <v>1018</v>
      </c>
      <c r="C168">
        <v>2018</v>
      </c>
      <c r="D168">
        <v>3023</v>
      </c>
      <c r="E168">
        <v>4</v>
      </c>
      <c r="F168">
        <v>5</v>
      </c>
      <c r="G168" s="4">
        <v>45589</v>
      </c>
      <c r="H168" s="5">
        <v>27416.2</v>
      </c>
    </row>
    <row r="169" spans="1:8" x14ac:dyDescent="0.3">
      <c r="A169">
        <v>4168</v>
      </c>
      <c r="B169">
        <v>1225</v>
      </c>
      <c r="C169">
        <v>2019</v>
      </c>
      <c r="D169">
        <v>3024</v>
      </c>
      <c r="E169">
        <v>3</v>
      </c>
      <c r="F169">
        <v>8</v>
      </c>
      <c r="G169" s="4">
        <v>45604</v>
      </c>
      <c r="H169" s="5">
        <v>37591.199999999997</v>
      </c>
    </row>
    <row r="170" spans="1:8" x14ac:dyDescent="0.3">
      <c r="A170">
        <v>4169</v>
      </c>
      <c r="B170">
        <v>1258</v>
      </c>
      <c r="C170">
        <v>2020</v>
      </c>
      <c r="D170">
        <v>3034</v>
      </c>
      <c r="E170">
        <v>4</v>
      </c>
      <c r="F170">
        <v>16</v>
      </c>
      <c r="G170" s="4">
        <v>45610</v>
      </c>
      <c r="H170" s="5">
        <v>15153.54</v>
      </c>
    </row>
    <row r="171" spans="1:8" x14ac:dyDescent="0.3">
      <c r="A171">
        <v>4170</v>
      </c>
      <c r="B171">
        <v>1162</v>
      </c>
      <c r="C171">
        <v>2025</v>
      </c>
      <c r="D171">
        <v>3027</v>
      </c>
      <c r="E171">
        <v>1</v>
      </c>
      <c r="F171">
        <v>23</v>
      </c>
      <c r="G171" s="4">
        <v>45582</v>
      </c>
      <c r="H171" s="5">
        <v>13045.06</v>
      </c>
    </row>
    <row r="172" spans="1:8" x14ac:dyDescent="0.3">
      <c r="A172">
        <v>4171</v>
      </c>
      <c r="B172">
        <v>1035</v>
      </c>
      <c r="C172">
        <v>2012</v>
      </c>
      <c r="D172">
        <v>3024</v>
      </c>
      <c r="E172">
        <v>4</v>
      </c>
      <c r="F172">
        <v>11</v>
      </c>
      <c r="G172" s="4">
        <v>45610</v>
      </c>
      <c r="H172" s="5">
        <v>42208.55</v>
      </c>
    </row>
    <row r="173" spans="1:8" x14ac:dyDescent="0.3">
      <c r="A173">
        <v>4172</v>
      </c>
      <c r="B173">
        <v>1210</v>
      </c>
      <c r="C173">
        <v>2001</v>
      </c>
      <c r="D173">
        <v>3029</v>
      </c>
      <c r="E173">
        <v>2</v>
      </c>
      <c r="F173">
        <v>0</v>
      </c>
      <c r="G173" s="4">
        <v>45615</v>
      </c>
      <c r="H173" s="5">
        <v>14406.85</v>
      </c>
    </row>
    <row r="174" spans="1:8" x14ac:dyDescent="0.3">
      <c r="A174">
        <v>4173</v>
      </c>
      <c r="B174">
        <v>1098</v>
      </c>
      <c r="C174">
        <v>2015</v>
      </c>
      <c r="D174">
        <v>3004</v>
      </c>
      <c r="E174">
        <v>4</v>
      </c>
      <c r="F174">
        <v>24</v>
      </c>
      <c r="G174" s="4">
        <v>45591</v>
      </c>
      <c r="H174" s="5">
        <v>53741.49</v>
      </c>
    </row>
    <row r="175" spans="1:8" x14ac:dyDescent="0.3">
      <c r="A175">
        <v>4174</v>
      </c>
      <c r="B175">
        <v>1006</v>
      </c>
      <c r="C175">
        <v>2025</v>
      </c>
      <c r="D175">
        <v>3020</v>
      </c>
      <c r="E175">
        <v>4</v>
      </c>
      <c r="F175">
        <v>18</v>
      </c>
      <c r="G175" s="4">
        <v>45602</v>
      </c>
      <c r="H175" s="5">
        <v>55863.17</v>
      </c>
    </row>
    <row r="176" spans="1:8" x14ac:dyDescent="0.3">
      <c r="A176">
        <v>4175</v>
      </c>
      <c r="B176">
        <v>1012</v>
      </c>
      <c r="C176">
        <v>2023</v>
      </c>
      <c r="D176">
        <v>3026</v>
      </c>
      <c r="E176">
        <v>5</v>
      </c>
      <c r="F176">
        <v>29</v>
      </c>
      <c r="G176" s="4">
        <v>45596</v>
      </c>
      <c r="H176" s="5">
        <v>17028.29</v>
      </c>
    </row>
    <row r="177" spans="1:8" x14ac:dyDescent="0.3">
      <c r="A177">
        <v>4176</v>
      </c>
      <c r="B177">
        <v>1019</v>
      </c>
      <c r="C177">
        <v>2007</v>
      </c>
      <c r="D177">
        <v>3007</v>
      </c>
      <c r="E177">
        <v>3</v>
      </c>
      <c r="F177">
        <v>3</v>
      </c>
      <c r="G177" s="4">
        <v>45607</v>
      </c>
      <c r="H177" s="5">
        <v>9970.89</v>
      </c>
    </row>
    <row r="178" spans="1:8" x14ac:dyDescent="0.3">
      <c r="A178">
        <v>4177</v>
      </c>
      <c r="B178">
        <v>1104</v>
      </c>
      <c r="C178">
        <v>2019</v>
      </c>
      <c r="D178">
        <v>3004</v>
      </c>
      <c r="E178">
        <v>2</v>
      </c>
      <c r="F178">
        <v>9</v>
      </c>
      <c r="G178" s="4">
        <v>45588</v>
      </c>
      <c r="H178" s="5">
        <v>24897.360000000001</v>
      </c>
    </row>
    <row r="179" spans="1:8" x14ac:dyDescent="0.3">
      <c r="A179">
        <v>4178</v>
      </c>
      <c r="B179">
        <v>1191</v>
      </c>
      <c r="C179">
        <v>2021</v>
      </c>
      <c r="D179">
        <v>3018</v>
      </c>
      <c r="E179">
        <v>4</v>
      </c>
      <c r="F179">
        <v>15</v>
      </c>
      <c r="G179" s="4">
        <v>45589</v>
      </c>
      <c r="H179" s="5">
        <v>59489.919999999998</v>
      </c>
    </row>
    <row r="180" spans="1:8" x14ac:dyDescent="0.3">
      <c r="A180">
        <v>4179</v>
      </c>
      <c r="B180">
        <v>1163</v>
      </c>
      <c r="C180">
        <v>2002</v>
      </c>
      <c r="D180">
        <v>3019</v>
      </c>
      <c r="E180">
        <v>4</v>
      </c>
      <c r="F180">
        <v>26</v>
      </c>
      <c r="G180" s="4">
        <v>45605</v>
      </c>
      <c r="H180" s="5">
        <v>28167.25</v>
      </c>
    </row>
    <row r="181" spans="1:8" x14ac:dyDescent="0.3">
      <c r="A181">
        <v>4180</v>
      </c>
      <c r="B181">
        <v>1198</v>
      </c>
      <c r="C181">
        <v>2016</v>
      </c>
      <c r="D181">
        <v>3033</v>
      </c>
      <c r="E181">
        <v>1</v>
      </c>
      <c r="F181">
        <v>29</v>
      </c>
      <c r="G181" s="4">
        <v>45575</v>
      </c>
      <c r="H181" s="5">
        <v>8742.01</v>
      </c>
    </row>
    <row r="182" spans="1:8" x14ac:dyDescent="0.3">
      <c r="A182">
        <v>4181</v>
      </c>
      <c r="B182">
        <v>1278</v>
      </c>
      <c r="C182">
        <v>2012</v>
      </c>
      <c r="D182">
        <v>3032</v>
      </c>
      <c r="E182">
        <v>3</v>
      </c>
      <c r="F182">
        <v>7</v>
      </c>
      <c r="G182" s="4">
        <v>45613</v>
      </c>
      <c r="H182" s="5">
        <v>33240.65</v>
      </c>
    </row>
    <row r="183" spans="1:8" x14ac:dyDescent="0.3">
      <c r="A183">
        <v>4182</v>
      </c>
      <c r="B183">
        <v>1238</v>
      </c>
      <c r="C183">
        <v>2008</v>
      </c>
      <c r="D183">
        <v>3021</v>
      </c>
      <c r="E183">
        <v>3</v>
      </c>
      <c r="F183">
        <v>23</v>
      </c>
      <c r="G183" s="4">
        <v>45602</v>
      </c>
      <c r="H183" s="5">
        <v>4944.41</v>
      </c>
    </row>
    <row r="184" spans="1:8" x14ac:dyDescent="0.3">
      <c r="A184">
        <v>4183</v>
      </c>
      <c r="B184">
        <v>1197</v>
      </c>
      <c r="C184">
        <v>2008</v>
      </c>
      <c r="D184">
        <v>3006</v>
      </c>
      <c r="E184">
        <v>5</v>
      </c>
      <c r="F184">
        <v>17</v>
      </c>
      <c r="G184" s="4">
        <v>45612</v>
      </c>
      <c r="H184" s="5">
        <v>8839.84</v>
      </c>
    </row>
    <row r="185" spans="1:8" x14ac:dyDescent="0.3">
      <c r="A185">
        <v>4184</v>
      </c>
      <c r="B185">
        <v>1233</v>
      </c>
      <c r="C185">
        <v>2023</v>
      </c>
      <c r="D185">
        <v>3015</v>
      </c>
      <c r="E185">
        <v>5</v>
      </c>
      <c r="F185">
        <v>0</v>
      </c>
      <c r="G185" s="4">
        <v>45601</v>
      </c>
      <c r="H185" s="5">
        <v>23902.880000000001</v>
      </c>
    </row>
    <row r="186" spans="1:8" x14ac:dyDescent="0.3">
      <c r="A186">
        <v>4185</v>
      </c>
      <c r="B186">
        <v>1050</v>
      </c>
      <c r="C186">
        <v>2013</v>
      </c>
      <c r="D186">
        <v>3009</v>
      </c>
      <c r="E186">
        <v>2</v>
      </c>
      <c r="F186">
        <v>3</v>
      </c>
      <c r="G186" s="4">
        <v>45602</v>
      </c>
      <c r="H186" s="5">
        <v>23062.22</v>
      </c>
    </row>
    <row r="187" spans="1:8" x14ac:dyDescent="0.3">
      <c r="A187">
        <v>4186</v>
      </c>
      <c r="B187">
        <v>1066</v>
      </c>
      <c r="C187">
        <v>2003</v>
      </c>
      <c r="D187">
        <v>3004</v>
      </c>
      <c r="E187">
        <v>1</v>
      </c>
      <c r="F187">
        <v>21</v>
      </c>
      <c r="G187" s="4">
        <v>45606</v>
      </c>
      <c r="H187" s="5">
        <v>10492.17</v>
      </c>
    </row>
    <row r="188" spans="1:8" x14ac:dyDescent="0.3">
      <c r="A188">
        <v>4187</v>
      </c>
      <c r="B188">
        <v>1136</v>
      </c>
      <c r="C188">
        <v>2017</v>
      </c>
      <c r="D188">
        <v>3008</v>
      </c>
      <c r="E188">
        <v>2</v>
      </c>
      <c r="F188">
        <v>16</v>
      </c>
      <c r="G188" s="4">
        <v>45587</v>
      </c>
      <c r="H188" s="5">
        <v>13811.42</v>
      </c>
    </row>
    <row r="189" spans="1:8" x14ac:dyDescent="0.3">
      <c r="A189">
        <v>4188</v>
      </c>
      <c r="B189">
        <v>1046</v>
      </c>
      <c r="C189">
        <v>2008</v>
      </c>
      <c r="D189">
        <v>3002</v>
      </c>
      <c r="E189">
        <v>2</v>
      </c>
      <c r="F189">
        <v>16</v>
      </c>
      <c r="G189" s="4">
        <v>45578</v>
      </c>
      <c r="H189" s="5">
        <v>3572.67</v>
      </c>
    </row>
    <row r="190" spans="1:8" x14ac:dyDescent="0.3">
      <c r="A190">
        <v>4189</v>
      </c>
      <c r="B190">
        <v>1121</v>
      </c>
      <c r="C190">
        <v>2014</v>
      </c>
      <c r="D190">
        <v>3030</v>
      </c>
      <c r="E190">
        <v>2</v>
      </c>
      <c r="F190">
        <v>4</v>
      </c>
      <c r="G190" s="4">
        <v>45577</v>
      </c>
      <c r="H190" s="5">
        <v>26404.69</v>
      </c>
    </row>
    <row r="191" spans="1:8" x14ac:dyDescent="0.3">
      <c r="A191">
        <v>4190</v>
      </c>
      <c r="B191">
        <v>1186</v>
      </c>
      <c r="C191">
        <v>2024</v>
      </c>
      <c r="D191">
        <v>3016</v>
      </c>
      <c r="E191">
        <v>5</v>
      </c>
      <c r="F191">
        <v>2</v>
      </c>
      <c r="G191" s="4">
        <v>45604</v>
      </c>
      <c r="H191" s="5">
        <v>80001.289999999994</v>
      </c>
    </row>
    <row r="192" spans="1:8" x14ac:dyDescent="0.3">
      <c r="A192">
        <v>4191</v>
      </c>
      <c r="B192">
        <v>1112</v>
      </c>
      <c r="C192">
        <v>2011</v>
      </c>
      <c r="D192">
        <v>3015</v>
      </c>
      <c r="E192">
        <v>4</v>
      </c>
      <c r="F192">
        <v>23</v>
      </c>
      <c r="G192" s="4">
        <v>45577</v>
      </c>
      <c r="H192" s="5">
        <v>22897.84</v>
      </c>
    </row>
    <row r="193" spans="1:8" x14ac:dyDescent="0.3">
      <c r="A193">
        <v>4192</v>
      </c>
      <c r="B193">
        <v>1026</v>
      </c>
      <c r="C193">
        <v>2004</v>
      </c>
      <c r="D193">
        <v>3027</v>
      </c>
      <c r="E193">
        <v>1</v>
      </c>
      <c r="F193">
        <v>3</v>
      </c>
      <c r="G193" s="4">
        <v>45611</v>
      </c>
      <c r="H193" s="5">
        <v>4824.7299999999996</v>
      </c>
    </row>
    <row r="194" spans="1:8" x14ac:dyDescent="0.3">
      <c r="A194">
        <v>4193</v>
      </c>
      <c r="B194">
        <v>1193</v>
      </c>
      <c r="C194">
        <v>2012</v>
      </c>
      <c r="D194">
        <v>3020</v>
      </c>
      <c r="E194">
        <v>5</v>
      </c>
      <c r="F194">
        <v>21</v>
      </c>
      <c r="G194" s="4">
        <v>45598</v>
      </c>
      <c r="H194" s="5">
        <v>46981.45</v>
      </c>
    </row>
    <row r="195" spans="1:8" x14ac:dyDescent="0.3">
      <c r="A195">
        <v>4194</v>
      </c>
      <c r="B195">
        <v>1141</v>
      </c>
      <c r="C195">
        <v>2023</v>
      </c>
      <c r="D195">
        <v>3006</v>
      </c>
      <c r="E195">
        <v>4</v>
      </c>
      <c r="F195">
        <v>8</v>
      </c>
      <c r="G195" s="4">
        <v>45600</v>
      </c>
      <c r="H195" s="5">
        <v>17691.78</v>
      </c>
    </row>
    <row r="196" spans="1:8" x14ac:dyDescent="0.3">
      <c r="A196">
        <v>4195</v>
      </c>
      <c r="B196">
        <v>1043</v>
      </c>
      <c r="C196">
        <v>2005</v>
      </c>
      <c r="D196">
        <v>3030</v>
      </c>
      <c r="E196">
        <v>4</v>
      </c>
      <c r="F196">
        <v>29</v>
      </c>
      <c r="G196" s="4">
        <v>45613</v>
      </c>
      <c r="H196" s="5">
        <v>10883.77</v>
      </c>
    </row>
    <row r="197" spans="1:8" x14ac:dyDescent="0.3">
      <c r="A197">
        <v>4196</v>
      </c>
      <c r="B197">
        <v>1175</v>
      </c>
      <c r="C197">
        <v>2002</v>
      </c>
      <c r="D197">
        <v>3030</v>
      </c>
      <c r="E197">
        <v>4</v>
      </c>
      <c r="F197">
        <v>14</v>
      </c>
      <c r="G197" s="4">
        <v>45611</v>
      </c>
      <c r="H197" s="5">
        <v>32770.26</v>
      </c>
    </row>
    <row r="198" spans="1:8" x14ac:dyDescent="0.3">
      <c r="A198">
        <v>4197</v>
      </c>
      <c r="B198">
        <v>1211</v>
      </c>
      <c r="C198">
        <v>2025</v>
      </c>
      <c r="D198">
        <v>3034</v>
      </c>
      <c r="E198">
        <v>1</v>
      </c>
      <c r="F198">
        <v>9</v>
      </c>
      <c r="G198" s="4">
        <v>45592</v>
      </c>
      <c r="H198" s="5">
        <v>15443.04</v>
      </c>
    </row>
    <row r="199" spans="1:8" x14ac:dyDescent="0.3">
      <c r="A199">
        <v>4198</v>
      </c>
      <c r="B199">
        <v>1266</v>
      </c>
      <c r="C199">
        <v>2006</v>
      </c>
      <c r="D199">
        <v>3031</v>
      </c>
      <c r="E199">
        <v>5</v>
      </c>
      <c r="F199">
        <v>27</v>
      </c>
      <c r="G199" s="4">
        <v>45576</v>
      </c>
      <c r="H199" s="5">
        <v>44061.21</v>
      </c>
    </row>
    <row r="200" spans="1:8" x14ac:dyDescent="0.3">
      <c r="A200">
        <v>4199</v>
      </c>
      <c r="B200">
        <v>1174</v>
      </c>
      <c r="C200">
        <v>2013</v>
      </c>
      <c r="D200">
        <v>3016</v>
      </c>
      <c r="E200">
        <v>3</v>
      </c>
      <c r="F200">
        <v>25</v>
      </c>
      <c r="G200" s="4">
        <v>45581</v>
      </c>
      <c r="H200" s="5">
        <v>26601.5</v>
      </c>
    </row>
    <row r="201" spans="1:8" x14ac:dyDescent="0.3">
      <c r="A201">
        <v>4200</v>
      </c>
      <c r="B201">
        <v>1138</v>
      </c>
      <c r="C201">
        <v>2005</v>
      </c>
      <c r="D201">
        <v>3011</v>
      </c>
      <c r="E201">
        <v>1</v>
      </c>
      <c r="F201">
        <v>5</v>
      </c>
      <c r="G201" s="4">
        <v>45586</v>
      </c>
      <c r="H201" s="5">
        <v>3620.14</v>
      </c>
    </row>
    <row r="202" spans="1:8" x14ac:dyDescent="0.3">
      <c r="A202">
        <v>4201</v>
      </c>
      <c r="B202">
        <v>1234</v>
      </c>
      <c r="C202">
        <v>2015</v>
      </c>
      <c r="D202">
        <v>3019</v>
      </c>
      <c r="E202">
        <v>3</v>
      </c>
      <c r="F202">
        <v>25</v>
      </c>
      <c r="G202" s="4">
        <v>45606</v>
      </c>
      <c r="H202" s="5">
        <v>39519.22</v>
      </c>
    </row>
    <row r="203" spans="1:8" x14ac:dyDescent="0.3">
      <c r="A203">
        <v>4202</v>
      </c>
      <c r="B203">
        <v>1285</v>
      </c>
      <c r="C203">
        <v>2010</v>
      </c>
      <c r="D203">
        <v>3033</v>
      </c>
      <c r="E203">
        <v>4</v>
      </c>
      <c r="F203">
        <v>3</v>
      </c>
      <c r="G203" s="4">
        <v>45603</v>
      </c>
      <c r="H203" s="5">
        <v>69701.83</v>
      </c>
    </row>
    <row r="204" spans="1:8" x14ac:dyDescent="0.3">
      <c r="A204">
        <v>4203</v>
      </c>
      <c r="B204">
        <v>1190</v>
      </c>
      <c r="C204">
        <v>2019</v>
      </c>
      <c r="D204">
        <v>3001</v>
      </c>
      <c r="E204">
        <v>4</v>
      </c>
      <c r="F204">
        <v>9</v>
      </c>
      <c r="G204" s="4">
        <v>45589</v>
      </c>
      <c r="H204" s="5">
        <v>49375.22</v>
      </c>
    </row>
    <row r="205" spans="1:8" x14ac:dyDescent="0.3">
      <c r="A205">
        <v>4204</v>
      </c>
      <c r="B205">
        <v>1125</v>
      </c>
      <c r="C205">
        <v>2020</v>
      </c>
      <c r="D205">
        <v>3016</v>
      </c>
      <c r="E205">
        <v>4</v>
      </c>
      <c r="F205">
        <v>19</v>
      </c>
      <c r="G205" s="4">
        <v>45580</v>
      </c>
      <c r="H205" s="5">
        <v>14628.53</v>
      </c>
    </row>
    <row r="206" spans="1:8" x14ac:dyDescent="0.3">
      <c r="A206">
        <v>4205</v>
      </c>
      <c r="B206">
        <v>1116</v>
      </c>
      <c r="C206">
        <v>2022</v>
      </c>
      <c r="D206">
        <v>3012</v>
      </c>
      <c r="E206">
        <v>5</v>
      </c>
      <c r="F206">
        <v>11</v>
      </c>
      <c r="G206" s="4">
        <v>45586</v>
      </c>
      <c r="H206" s="5">
        <v>76235.88</v>
      </c>
    </row>
    <row r="207" spans="1:8" x14ac:dyDescent="0.3">
      <c r="A207">
        <v>4206</v>
      </c>
      <c r="B207">
        <v>1083</v>
      </c>
      <c r="C207">
        <v>2004</v>
      </c>
      <c r="D207">
        <v>3011</v>
      </c>
      <c r="E207">
        <v>3</v>
      </c>
      <c r="F207">
        <v>17</v>
      </c>
      <c r="G207" s="4">
        <v>45607</v>
      </c>
      <c r="H207" s="5">
        <v>12309.68</v>
      </c>
    </row>
    <row r="208" spans="1:8" x14ac:dyDescent="0.3">
      <c r="A208">
        <v>4207</v>
      </c>
      <c r="B208">
        <v>1002</v>
      </c>
      <c r="C208">
        <v>2024</v>
      </c>
      <c r="D208">
        <v>3026</v>
      </c>
      <c r="E208">
        <v>1</v>
      </c>
      <c r="F208">
        <v>22</v>
      </c>
      <c r="G208" s="4">
        <v>45610</v>
      </c>
      <c r="H208" s="5">
        <v>12656.36</v>
      </c>
    </row>
    <row r="209" spans="1:8" x14ac:dyDescent="0.3">
      <c r="A209">
        <v>4208</v>
      </c>
      <c r="B209">
        <v>1224</v>
      </c>
      <c r="C209">
        <v>2004</v>
      </c>
      <c r="D209">
        <v>3012</v>
      </c>
      <c r="E209">
        <v>2</v>
      </c>
      <c r="F209">
        <v>28</v>
      </c>
      <c r="G209" s="4">
        <v>45609</v>
      </c>
      <c r="H209" s="5">
        <v>7084.33</v>
      </c>
    </row>
    <row r="210" spans="1:8" x14ac:dyDescent="0.3">
      <c r="A210">
        <v>4209</v>
      </c>
      <c r="B210">
        <v>1288</v>
      </c>
      <c r="C210">
        <v>2021</v>
      </c>
      <c r="D210">
        <v>3021</v>
      </c>
      <c r="E210">
        <v>4</v>
      </c>
      <c r="F210">
        <v>21</v>
      </c>
      <c r="G210" s="4">
        <v>45605</v>
      </c>
      <c r="H210" s="5">
        <v>55592.86</v>
      </c>
    </row>
    <row r="211" spans="1:8" x14ac:dyDescent="0.3">
      <c r="A211">
        <v>4210</v>
      </c>
      <c r="B211">
        <v>1110</v>
      </c>
      <c r="C211">
        <v>2004</v>
      </c>
      <c r="D211">
        <v>3020</v>
      </c>
      <c r="E211">
        <v>4</v>
      </c>
      <c r="F211">
        <v>17</v>
      </c>
      <c r="G211" s="4">
        <v>45592</v>
      </c>
      <c r="H211" s="5">
        <v>16517.89</v>
      </c>
    </row>
    <row r="212" spans="1:8" x14ac:dyDescent="0.3">
      <c r="A212">
        <v>4211</v>
      </c>
      <c r="B212">
        <v>1271</v>
      </c>
      <c r="C212">
        <v>2018</v>
      </c>
      <c r="D212">
        <v>3017</v>
      </c>
      <c r="E212">
        <v>3</v>
      </c>
      <c r="F212">
        <v>7</v>
      </c>
      <c r="G212" s="4">
        <v>45600</v>
      </c>
      <c r="H212" s="5">
        <v>20149.3</v>
      </c>
    </row>
    <row r="213" spans="1:8" x14ac:dyDescent="0.3">
      <c r="A213">
        <v>4212</v>
      </c>
      <c r="B213">
        <v>1135</v>
      </c>
      <c r="C213">
        <v>2002</v>
      </c>
      <c r="D213">
        <v>3013</v>
      </c>
      <c r="E213">
        <v>4</v>
      </c>
      <c r="F213">
        <v>2</v>
      </c>
      <c r="G213" s="4">
        <v>45605</v>
      </c>
      <c r="H213" s="5">
        <v>37270.31</v>
      </c>
    </row>
    <row r="214" spans="1:8" x14ac:dyDescent="0.3">
      <c r="A214">
        <v>4213</v>
      </c>
      <c r="B214">
        <v>1072</v>
      </c>
      <c r="C214">
        <v>2013</v>
      </c>
      <c r="D214">
        <v>3009</v>
      </c>
      <c r="E214">
        <v>2</v>
      </c>
      <c r="F214">
        <v>8</v>
      </c>
      <c r="G214" s="4">
        <v>45606</v>
      </c>
      <c r="H214" s="5">
        <v>21690.560000000001</v>
      </c>
    </row>
    <row r="215" spans="1:8" x14ac:dyDescent="0.3">
      <c r="A215">
        <v>4214</v>
      </c>
      <c r="B215">
        <v>1170</v>
      </c>
      <c r="C215">
        <v>2025</v>
      </c>
      <c r="D215">
        <v>3026</v>
      </c>
      <c r="E215">
        <v>4</v>
      </c>
      <c r="F215">
        <v>7</v>
      </c>
      <c r="G215" s="4">
        <v>45600</v>
      </c>
      <c r="H215" s="5">
        <v>63058.8</v>
      </c>
    </row>
    <row r="216" spans="1:8" x14ac:dyDescent="0.3">
      <c r="A216">
        <v>4215</v>
      </c>
      <c r="B216">
        <v>1228</v>
      </c>
      <c r="C216">
        <v>2006</v>
      </c>
      <c r="D216">
        <v>3001</v>
      </c>
      <c r="E216">
        <v>4</v>
      </c>
      <c r="F216">
        <v>24</v>
      </c>
      <c r="G216" s="4">
        <v>45606</v>
      </c>
      <c r="H216" s="5">
        <v>36474.26</v>
      </c>
    </row>
    <row r="217" spans="1:8" x14ac:dyDescent="0.3">
      <c r="A217">
        <v>4216</v>
      </c>
      <c r="B217">
        <v>1173</v>
      </c>
      <c r="C217">
        <v>2002</v>
      </c>
      <c r="D217">
        <v>3030</v>
      </c>
      <c r="E217">
        <v>4</v>
      </c>
      <c r="F217">
        <v>27</v>
      </c>
      <c r="G217" s="4">
        <v>45604</v>
      </c>
      <c r="H217" s="5">
        <v>27869.79</v>
      </c>
    </row>
    <row r="218" spans="1:8" x14ac:dyDescent="0.3">
      <c r="A218">
        <v>4217</v>
      </c>
      <c r="B218">
        <v>1234</v>
      </c>
      <c r="C218">
        <v>2016</v>
      </c>
      <c r="D218">
        <v>3013</v>
      </c>
      <c r="E218">
        <v>3</v>
      </c>
      <c r="F218">
        <v>14</v>
      </c>
      <c r="G218" s="4">
        <v>45589</v>
      </c>
      <c r="H218" s="5">
        <v>31690.87</v>
      </c>
    </row>
    <row r="219" spans="1:8" x14ac:dyDescent="0.3">
      <c r="A219">
        <v>4218</v>
      </c>
      <c r="B219">
        <v>1239</v>
      </c>
      <c r="C219">
        <v>2023</v>
      </c>
      <c r="D219">
        <v>3016</v>
      </c>
      <c r="E219">
        <v>5</v>
      </c>
      <c r="F219">
        <v>4</v>
      </c>
      <c r="G219" s="4">
        <v>45582</v>
      </c>
      <c r="H219" s="5">
        <v>23114.27</v>
      </c>
    </row>
    <row r="220" spans="1:8" x14ac:dyDescent="0.3">
      <c r="A220">
        <v>4219</v>
      </c>
      <c r="B220">
        <v>1034</v>
      </c>
      <c r="C220">
        <v>2006</v>
      </c>
      <c r="D220">
        <v>3025</v>
      </c>
      <c r="E220">
        <v>1</v>
      </c>
      <c r="F220">
        <v>27</v>
      </c>
      <c r="G220" s="4">
        <v>45603</v>
      </c>
      <c r="H220" s="5">
        <v>8801.39</v>
      </c>
    </row>
    <row r="221" spans="1:8" x14ac:dyDescent="0.3">
      <c r="A221">
        <v>4220</v>
      </c>
      <c r="B221">
        <v>1156</v>
      </c>
      <c r="C221">
        <v>2022</v>
      </c>
      <c r="D221">
        <v>3008</v>
      </c>
      <c r="E221">
        <v>1</v>
      </c>
      <c r="F221">
        <v>15</v>
      </c>
      <c r="G221" s="4">
        <v>45596</v>
      </c>
      <c r="H221" s="5">
        <v>14508.05</v>
      </c>
    </row>
    <row r="222" spans="1:8" x14ac:dyDescent="0.3">
      <c r="A222">
        <v>4221</v>
      </c>
      <c r="B222">
        <v>1195</v>
      </c>
      <c r="C222">
        <v>2003</v>
      </c>
      <c r="D222">
        <v>3003</v>
      </c>
      <c r="E222">
        <v>4</v>
      </c>
      <c r="F222">
        <v>21</v>
      </c>
      <c r="G222" s="4">
        <v>45580</v>
      </c>
      <c r="H222" s="5">
        <v>41868.04</v>
      </c>
    </row>
    <row r="223" spans="1:8" x14ac:dyDescent="0.3">
      <c r="A223">
        <v>4222</v>
      </c>
      <c r="B223">
        <v>1087</v>
      </c>
      <c r="C223">
        <v>2024</v>
      </c>
      <c r="D223">
        <v>3025</v>
      </c>
      <c r="E223">
        <v>1</v>
      </c>
      <c r="F223">
        <v>11</v>
      </c>
      <c r="G223" s="4">
        <v>45608</v>
      </c>
      <c r="H223" s="5">
        <v>14526.01</v>
      </c>
    </row>
    <row r="224" spans="1:8" x14ac:dyDescent="0.3">
      <c r="A224">
        <v>4223</v>
      </c>
      <c r="B224">
        <v>1084</v>
      </c>
      <c r="C224">
        <v>2007</v>
      </c>
      <c r="D224">
        <v>3030</v>
      </c>
      <c r="E224">
        <v>1</v>
      </c>
      <c r="F224">
        <v>15</v>
      </c>
      <c r="G224" s="4">
        <v>45603</v>
      </c>
      <c r="H224" s="5">
        <v>2915.55</v>
      </c>
    </row>
    <row r="225" spans="1:8" x14ac:dyDescent="0.3">
      <c r="A225">
        <v>4224</v>
      </c>
      <c r="B225">
        <v>1107</v>
      </c>
      <c r="C225">
        <v>2011</v>
      </c>
      <c r="D225">
        <v>3005</v>
      </c>
      <c r="E225">
        <v>2</v>
      </c>
      <c r="F225">
        <v>21</v>
      </c>
      <c r="G225" s="4">
        <v>45599</v>
      </c>
      <c r="H225" s="5">
        <v>11872.35</v>
      </c>
    </row>
    <row r="226" spans="1:8" x14ac:dyDescent="0.3">
      <c r="A226">
        <v>4225</v>
      </c>
      <c r="B226">
        <v>1143</v>
      </c>
      <c r="C226">
        <v>2024</v>
      </c>
      <c r="D226">
        <v>3006</v>
      </c>
      <c r="E226">
        <v>5</v>
      </c>
      <c r="F226">
        <v>3</v>
      </c>
      <c r="G226" s="4">
        <v>45593</v>
      </c>
      <c r="H226" s="5">
        <v>79122.600000000006</v>
      </c>
    </row>
    <row r="227" spans="1:8" x14ac:dyDescent="0.3">
      <c r="A227">
        <v>4226</v>
      </c>
      <c r="B227">
        <v>1011</v>
      </c>
      <c r="C227">
        <v>2009</v>
      </c>
      <c r="D227">
        <v>3027</v>
      </c>
      <c r="E227">
        <v>3</v>
      </c>
      <c r="F227">
        <v>1</v>
      </c>
      <c r="G227" s="4">
        <v>45575</v>
      </c>
      <c r="H227" s="5">
        <v>32700.22</v>
      </c>
    </row>
    <row r="228" spans="1:8" x14ac:dyDescent="0.3">
      <c r="A228">
        <v>4227</v>
      </c>
      <c r="B228">
        <v>1138</v>
      </c>
      <c r="C228">
        <v>2023</v>
      </c>
      <c r="D228">
        <v>3014</v>
      </c>
      <c r="E228">
        <v>4</v>
      </c>
      <c r="F228">
        <v>1</v>
      </c>
      <c r="G228" s="4">
        <v>45598</v>
      </c>
      <c r="H228" s="5">
        <v>19028.34</v>
      </c>
    </row>
    <row r="229" spans="1:8" x14ac:dyDescent="0.3">
      <c r="A229">
        <v>4228</v>
      </c>
      <c r="B229">
        <v>1204</v>
      </c>
      <c r="C229">
        <v>2023</v>
      </c>
      <c r="D229">
        <v>3028</v>
      </c>
      <c r="E229">
        <v>1</v>
      </c>
      <c r="F229">
        <v>1</v>
      </c>
      <c r="G229" s="4">
        <v>45575</v>
      </c>
      <c r="H229" s="5">
        <v>4734.08</v>
      </c>
    </row>
    <row r="230" spans="1:8" x14ac:dyDescent="0.3">
      <c r="A230">
        <v>4229</v>
      </c>
      <c r="B230">
        <v>1207</v>
      </c>
      <c r="C230">
        <v>2007</v>
      </c>
      <c r="D230">
        <v>3030</v>
      </c>
      <c r="E230">
        <v>3</v>
      </c>
      <c r="F230">
        <v>9</v>
      </c>
      <c r="G230" s="4">
        <v>45593</v>
      </c>
      <c r="H230" s="5">
        <v>9314.76</v>
      </c>
    </row>
    <row r="231" spans="1:8" x14ac:dyDescent="0.3">
      <c r="A231">
        <v>4230</v>
      </c>
      <c r="B231">
        <v>1265</v>
      </c>
      <c r="C231">
        <v>2008</v>
      </c>
      <c r="D231">
        <v>3004</v>
      </c>
      <c r="E231">
        <v>2</v>
      </c>
      <c r="F231">
        <v>30</v>
      </c>
      <c r="G231" s="4">
        <v>45576</v>
      </c>
      <c r="H231" s="5">
        <v>2994.24</v>
      </c>
    </row>
    <row r="232" spans="1:8" x14ac:dyDescent="0.3">
      <c r="A232">
        <v>4231</v>
      </c>
      <c r="B232">
        <v>1171</v>
      </c>
      <c r="C232">
        <v>2015</v>
      </c>
      <c r="D232">
        <v>3031</v>
      </c>
      <c r="E232">
        <v>2</v>
      </c>
      <c r="F232">
        <v>24</v>
      </c>
      <c r="G232" s="4">
        <v>45598</v>
      </c>
      <c r="H232" s="5">
        <v>26634.85</v>
      </c>
    </row>
    <row r="233" spans="1:8" x14ac:dyDescent="0.3">
      <c r="A233">
        <v>4232</v>
      </c>
      <c r="B233">
        <v>1263</v>
      </c>
      <c r="C233">
        <v>2017</v>
      </c>
      <c r="D233">
        <v>3001</v>
      </c>
      <c r="E233">
        <v>1</v>
      </c>
      <c r="F233">
        <v>5</v>
      </c>
      <c r="G233" s="4">
        <v>45581</v>
      </c>
      <c r="H233" s="5">
        <v>7756.24</v>
      </c>
    </row>
    <row r="234" spans="1:8" x14ac:dyDescent="0.3">
      <c r="A234">
        <v>4233</v>
      </c>
      <c r="B234">
        <v>1286</v>
      </c>
      <c r="C234">
        <v>2001</v>
      </c>
      <c r="D234">
        <v>3017</v>
      </c>
      <c r="E234">
        <v>2</v>
      </c>
      <c r="F234">
        <v>15</v>
      </c>
      <c r="G234" s="4">
        <v>45609</v>
      </c>
      <c r="H234" s="5">
        <v>12286.15</v>
      </c>
    </row>
    <row r="235" spans="1:8" x14ac:dyDescent="0.3">
      <c r="A235">
        <v>4234</v>
      </c>
      <c r="B235">
        <v>1053</v>
      </c>
      <c r="C235">
        <v>2011</v>
      </c>
      <c r="D235">
        <v>3033</v>
      </c>
      <c r="E235">
        <v>5</v>
      </c>
      <c r="F235">
        <v>23</v>
      </c>
      <c r="G235" s="4">
        <v>45597</v>
      </c>
      <c r="H235" s="5">
        <v>28884.14</v>
      </c>
    </row>
    <row r="236" spans="1:8" x14ac:dyDescent="0.3">
      <c r="A236">
        <v>4235</v>
      </c>
      <c r="B236">
        <v>1257</v>
      </c>
      <c r="C236">
        <v>2004</v>
      </c>
      <c r="D236">
        <v>3002</v>
      </c>
      <c r="E236">
        <v>2</v>
      </c>
      <c r="F236">
        <v>22</v>
      </c>
      <c r="G236" s="4">
        <v>45593</v>
      </c>
      <c r="H236" s="5">
        <v>7735.02</v>
      </c>
    </row>
    <row r="237" spans="1:8" x14ac:dyDescent="0.3">
      <c r="A237">
        <v>4236</v>
      </c>
      <c r="B237">
        <v>1197</v>
      </c>
      <c r="C237">
        <v>2004</v>
      </c>
      <c r="D237">
        <v>3010</v>
      </c>
      <c r="E237">
        <v>3</v>
      </c>
      <c r="F237">
        <v>21</v>
      </c>
      <c r="G237" s="4">
        <v>45616</v>
      </c>
      <c r="H237" s="5">
        <v>11733.27</v>
      </c>
    </row>
    <row r="238" spans="1:8" x14ac:dyDescent="0.3">
      <c r="A238">
        <v>4237</v>
      </c>
      <c r="B238">
        <v>1123</v>
      </c>
      <c r="C238">
        <v>2023</v>
      </c>
      <c r="D238">
        <v>3030</v>
      </c>
      <c r="E238">
        <v>3</v>
      </c>
      <c r="F238">
        <v>10</v>
      </c>
      <c r="G238" s="4">
        <v>45582</v>
      </c>
      <c r="H238" s="5">
        <v>12978.32</v>
      </c>
    </row>
    <row r="239" spans="1:8" x14ac:dyDescent="0.3">
      <c r="A239">
        <v>4238</v>
      </c>
      <c r="B239">
        <v>1013</v>
      </c>
      <c r="C239">
        <v>2023</v>
      </c>
      <c r="D239">
        <v>3009</v>
      </c>
      <c r="E239">
        <v>4</v>
      </c>
      <c r="F239">
        <v>12</v>
      </c>
      <c r="G239" s="4">
        <v>45609</v>
      </c>
      <c r="H239" s="5">
        <v>16792.419999999998</v>
      </c>
    </row>
    <row r="240" spans="1:8" x14ac:dyDescent="0.3">
      <c r="A240">
        <v>4239</v>
      </c>
      <c r="B240">
        <v>1020</v>
      </c>
      <c r="C240">
        <v>2001</v>
      </c>
      <c r="D240">
        <v>3028</v>
      </c>
      <c r="E240">
        <v>4</v>
      </c>
      <c r="F240">
        <v>7</v>
      </c>
      <c r="G240" s="4">
        <v>45610</v>
      </c>
      <c r="H240" s="5">
        <v>26980.68</v>
      </c>
    </row>
    <row r="241" spans="1:8" x14ac:dyDescent="0.3">
      <c r="A241">
        <v>4240</v>
      </c>
      <c r="B241">
        <v>1191</v>
      </c>
      <c r="C241">
        <v>2004</v>
      </c>
      <c r="D241">
        <v>3010</v>
      </c>
      <c r="E241">
        <v>4</v>
      </c>
      <c r="F241">
        <v>22</v>
      </c>
      <c r="G241" s="4">
        <v>45614</v>
      </c>
      <c r="H241" s="5">
        <v>15521.55</v>
      </c>
    </row>
    <row r="242" spans="1:8" x14ac:dyDescent="0.3">
      <c r="A242">
        <v>4241</v>
      </c>
      <c r="B242">
        <v>1036</v>
      </c>
      <c r="C242">
        <v>2006</v>
      </c>
      <c r="D242">
        <v>3013</v>
      </c>
      <c r="E242">
        <v>5</v>
      </c>
      <c r="F242">
        <v>2</v>
      </c>
      <c r="G242" s="4">
        <v>45606</v>
      </c>
      <c r="H242" s="5">
        <v>59051.79</v>
      </c>
    </row>
    <row r="243" spans="1:8" x14ac:dyDescent="0.3">
      <c r="A243">
        <v>4242</v>
      </c>
      <c r="B243">
        <v>1229</v>
      </c>
      <c r="C243">
        <v>2003</v>
      </c>
      <c r="D243">
        <v>3007</v>
      </c>
      <c r="E243">
        <v>3</v>
      </c>
      <c r="F243">
        <v>22</v>
      </c>
      <c r="G243" s="4">
        <v>45606</v>
      </c>
      <c r="H243" s="5">
        <v>30904.49</v>
      </c>
    </row>
    <row r="244" spans="1:8" x14ac:dyDescent="0.3">
      <c r="A244">
        <v>4243</v>
      </c>
      <c r="B244">
        <v>1237</v>
      </c>
      <c r="C244">
        <v>2014</v>
      </c>
      <c r="D244">
        <v>3029</v>
      </c>
      <c r="E244">
        <v>5</v>
      </c>
      <c r="F244">
        <v>14</v>
      </c>
      <c r="G244" s="4">
        <v>45604</v>
      </c>
      <c r="H244" s="5">
        <v>59252.29</v>
      </c>
    </row>
    <row r="245" spans="1:8" x14ac:dyDescent="0.3">
      <c r="A245">
        <v>4244</v>
      </c>
      <c r="B245">
        <v>1020</v>
      </c>
      <c r="C245">
        <v>2020</v>
      </c>
      <c r="D245">
        <v>3034</v>
      </c>
      <c r="E245">
        <v>2</v>
      </c>
      <c r="F245">
        <v>2</v>
      </c>
      <c r="G245" s="4">
        <v>45600</v>
      </c>
      <c r="H245" s="5">
        <v>8797.61</v>
      </c>
    </row>
    <row r="246" spans="1:8" x14ac:dyDescent="0.3">
      <c r="A246">
        <v>4245</v>
      </c>
      <c r="B246">
        <v>1136</v>
      </c>
      <c r="C246">
        <v>2022</v>
      </c>
      <c r="D246">
        <v>3027</v>
      </c>
      <c r="E246">
        <v>3</v>
      </c>
      <c r="F246">
        <v>13</v>
      </c>
      <c r="G246" s="4">
        <v>45583</v>
      </c>
      <c r="H246" s="5">
        <v>44861.78</v>
      </c>
    </row>
    <row r="247" spans="1:8" x14ac:dyDescent="0.3">
      <c r="A247">
        <v>4246</v>
      </c>
      <c r="B247">
        <v>1229</v>
      </c>
      <c r="C247">
        <v>2012</v>
      </c>
      <c r="D247">
        <v>3021</v>
      </c>
      <c r="E247">
        <v>4</v>
      </c>
      <c r="F247">
        <v>13</v>
      </c>
      <c r="G247" s="4">
        <v>45583</v>
      </c>
      <c r="H247" s="5">
        <v>41363.620000000003</v>
      </c>
    </row>
    <row r="248" spans="1:8" x14ac:dyDescent="0.3">
      <c r="A248">
        <v>4247</v>
      </c>
      <c r="B248">
        <v>1008</v>
      </c>
      <c r="C248">
        <v>2010</v>
      </c>
      <c r="D248">
        <v>3033</v>
      </c>
      <c r="E248">
        <v>1</v>
      </c>
      <c r="F248">
        <v>7</v>
      </c>
      <c r="G248" s="4">
        <v>45600</v>
      </c>
      <c r="H248" s="5">
        <v>16703.72</v>
      </c>
    </row>
    <row r="249" spans="1:8" x14ac:dyDescent="0.3">
      <c r="A249">
        <v>4248</v>
      </c>
      <c r="B249">
        <v>1059</v>
      </c>
      <c r="C249">
        <v>2003</v>
      </c>
      <c r="D249">
        <v>3023</v>
      </c>
      <c r="E249">
        <v>5</v>
      </c>
      <c r="F249">
        <v>24</v>
      </c>
      <c r="G249" s="4">
        <v>45603</v>
      </c>
      <c r="H249" s="5">
        <v>50050.98</v>
      </c>
    </row>
    <row r="250" spans="1:8" x14ac:dyDescent="0.3">
      <c r="A250">
        <v>4249</v>
      </c>
      <c r="B250">
        <v>1175</v>
      </c>
      <c r="C250">
        <v>2009</v>
      </c>
      <c r="D250">
        <v>3027</v>
      </c>
      <c r="E250">
        <v>5</v>
      </c>
      <c r="F250">
        <v>23</v>
      </c>
      <c r="G250" s="4">
        <v>45595</v>
      </c>
      <c r="H250" s="5">
        <v>42321.06</v>
      </c>
    </row>
    <row r="251" spans="1:8" x14ac:dyDescent="0.3">
      <c r="A251">
        <v>4250</v>
      </c>
      <c r="B251">
        <v>1235</v>
      </c>
      <c r="C251">
        <v>2009</v>
      </c>
      <c r="D251">
        <v>3033</v>
      </c>
      <c r="E251">
        <v>2</v>
      </c>
      <c r="F251">
        <v>5</v>
      </c>
      <c r="G251" s="4">
        <v>45587</v>
      </c>
      <c r="H251" s="5">
        <v>20898.71</v>
      </c>
    </row>
    <row r="252" spans="1:8" x14ac:dyDescent="0.3">
      <c r="A252">
        <v>4251</v>
      </c>
      <c r="B252">
        <v>1116</v>
      </c>
      <c r="C252">
        <v>2009</v>
      </c>
      <c r="D252">
        <v>3035</v>
      </c>
      <c r="E252">
        <v>1</v>
      </c>
      <c r="F252">
        <v>23</v>
      </c>
      <c r="G252" s="4">
        <v>45584</v>
      </c>
      <c r="H252" s="5">
        <v>8485.2000000000007</v>
      </c>
    </row>
    <row r="253" spans="1:8" x14ac:dyDescent="0.3">
      <c r="A253">
        <v>4252</v>
      </c>
      <c r="B253">
        <v>1164</v>
      </c>
      <c r="C253">
        <v>2016</v>
      </c>
      <c r="D253">
        <v>3026</v>
      </c>
      <c r="E253">
        <v>4</v>
      </c>
      <c r="F253">
        <v>0</v>
      </c>
      <c r="G253" s="4">
        <v>45596</v>
      </c>
      <c r="H253" s="5">
        <v>48845.58</v>
      </c>
    </row>
    <row r="254" spans="1:8" x14ac:dyDescent="0.3">
      <c r="A254">
        <v>4253</v>
      </c>
      <c r="B254">
        <v>1194</v>
      </c>
      <c r="C254">
        <v>2014</v>
      </c>
      <c r="D254">
        <v>3009</v>
      </c>
      <c r="E254">
        <v>2</v>
      </c>
      <c r="F254">
        <v>5</v>
      </c>
      <c r="G254" s="4">
        <v>45614</v>
      </c>
      <c r="H254" s="5">
        <v>26219.47</v>
      </c>
    </row>
    <row r="255" spans="1:8" x14ac:dyDescent="0.3">
      <c r="A255">
        <v>4254</v>
      </c>
      <c r="B255">
        <v>1241</v>
      </c>
      <c r="C255">
        <v>2004</v>
      </c>
      <c r="D255">
        <v>3013</v>
      </c>
      <c r="E255">
        <v>3</v>
      </c>
      <c r="F255">
        <v>28</v>
      </c>
      <c r="G255" s="4">
        <v>45609</v>
      </c>
      <c r="H255" s="5">
        <v>10715.63</v>
      </c>
    </row>
    <row r="256" spans="1:8" x14ac:dyDescent="0.3">
      <c r="A256">
        <v>4255</v>
      </c>
      <c r="B256">
        <v>1248</v>
      </c>
      <c r="C256">
        <v>2006</v>
      </c>
      <c r="D256">
        <v>3011</v>
      </c>
      <c r="E256">
        <v>5</v>
      </c>
      <c r="F256">
        <v>15</v>
      </c>
      <c r="G256" s="4">
        <v>45601</v>
      </c>
      <c r="H256" s="5">
        <v>51182.64</v>
      </c>
    </row>
    <row r="257" spans="1:8" x14ac:dyDescent="0.3">
      <c r="A257">
        <v>4256</v>
      </c>
      <c r="B257">
        <v>1218</v>
      </c>
      <c r="C257">
        <v>2013</v>
      </c>
      <c r="D257">
        <v>3014</v>
      </c>
      <c r="E257">
        <v>3</v>
      </c>
      <c r="F257">
        <v>27</v>
      </c>
      <c r="G257" s="4">
        <v>45594</v>
      </c>
      <c r="H257" s="5">
        <v>26054.26</v>
      </c>
    </row>
    <row r="258" spans="1:8" x14ac:dyDescent="0.3">
      <c r="A258">
        <v>4257</v>
      </c>
      <c r="B258">
        <v>1021</v>
      </c>
      <c r="C258">
        <v>2019</v>
      </c>
      <c r="D258">
        <v>3028</v>
      </c>
      <c r="E258">
        <v>5</v>
      </c>
      <c r="F258">
        <v>17</v>
      </c>
      <c r="G258" s="4">
        <v>45612</v>
      </c>
      <c r="H258" s="5">
        <v>56727.3</v>
      </c>
    </row>
    <row r="259" spans="1:8" x14ac:dyDescent="0.3">
      <c r="A259">
        <v>4258</v>
      </c>
      <c r="B259">
        <v>1121</v>
      </c>
      <c r="C259">
        <v>2008</v>
      </c>
      <c r="D259">
        <v>3030</v>
      </c>
      <c r="E259">
        <v>2</v>
      </c>
      <c r="F259">
        <v>4</v>
      </c>
      <c r="G259" s="4">
        <v>45590</v>
      </c>
      <c r="H259" s="5">
        <v>4114.79</v>
      </c>
    </row>
    <row r="260" spans="1:8" x14ac:dyDescent="0.3">
      <c r="A260">
        <v>4259</v>
      </c>
      <c r="B260">
        <v>1232</v>
      </c>
      <c r="C260">
        <v>2008</v>
      </c>
      <c r="D260">
        <v>3018</v>
      </c>
      <c r="E260">
        <v>2</v>
      </c>
      <c r="F260">
        <v>24</v>
      </c>
      <c r="G260" s="4">
        <v>45581</v>
      </c>
      <c r="H260" s="5">
        <v>3247.15</v>
      </c>
    </row>
    <row r="261" spans="1:8" x14ac:dyDescent="0.3">
      <c r="A261">
        <v>4260</v>
      </c>
      <c r="B261">
        <v>1086</v>
      </c>
      <c r="C261">
        <v>2006</v>
      </c>
      <c r="D261">
        <v>3033</v>
      </c>
      <c r="E261">
        <v>2</v>
      </c>
      <c r="F261">
        <v>23</v>
      </c>
      <c r="G261" s="4">
        <v>45590</v>
      </c>
      <c r="H261" s="5">
        <v>18572.400000000001</v>
      </c>
    </row>
    <row r="262" spans="1:8" x14ac:dyDescent="0.3">
      <c r="A262">
        <v>4261</v>
      </c>
      <c r="B262">
        <v>1167</v>
      </c>
      <c r="C262">
        <v>2011</v>
      </c>
      <c r="D262">
        <v>3030</v>
      </c>
      <c r="E262">
        <v>3</v>
      </c>
      <c r="F262">
        <v>12</v>
      </c>
      <c r="G262" s="4">
        <v>45602</v>
      </c>
      <c r="H262" s="5">
        <v>19817.169999999998</v>
      </c>
    </row>
    <row r="263" spans="1:8" x14ac:dyDescent="0.3">
      <c r="A263">
        <v>4262</v>
      </c>
      <c r="B263">
        <v>1151</v>
      </c>
      <c r="C263">
        <v>2006</v>
      </c>
      <c r="D263">
        <v>3023</v>
      </c>
      <c r="E263">
        <v>4</v>
      </c>
      <c r="F263">
        <v>19</v>
      </c>
      <c r="G263" s="4">
        <v>45581</v>
      </c>
      <c r="H263" s="5">
        <v>39214.300000000003</v>
      </c>
    </row>
    <row r="264" spans="1:8" x14ac:dyDescent="0.3">
      <c r="A264">
        <v>4263</v>
      </c>
      <c r="B264">
        <v>1029</v>
      </c>
      <c r="C264">
        <v>2007</v>
      </c>
      <c r="D264">
        <v>3003</v>
      </c>
      <c r="E264">
        <v>4</v>
      </c>
      <c r="F264">
        <v>3</v>
      </c>
      <c r="G264" s="4">
        <v>45583</v>
      </c>
      <c r="H264" s="5">
        <v>13215.36</v>
      </c>
    </row>
    <row r="265" spans="1:8" x14ac:dyDescent="0.3">
      <c r="A265">
        <v>4264</v>
      </c>
      <c r="B265">
        <v>1071</v>
      </c>
      <c r="C265">
        <v>2018</v>
      </c>
      <c r="D265">
        <v>3013</v>
      </c>
      <c r="E265">
        <v>1</v>
      </c>
      <c r="F265">
        <v>5</v>
      </c>
      <c r="G265" s="4">
        <v>45593</v>
      </c>
      <c r="H265" s="5">
        <v>6888.82</v>
      </c>
    </row>
    <row r="266" spans="1:8" x14ac:dyDescent="0.3">
      <c r="A266">
        <v>4265</v>
      </c>
      <c r="B266">
        <v>1238</v>
      </c>
      <c r="C266">
        <v>2014</v>
      </c>
      <c r="D266">
        <v>3027</v>
      </c>
      <c r="E266">
        <v>2</v>
      </c>
      <c r="F266">
        <v>5</v>
      </c>
      <c r="G266" s="4">
        <v>45599</v>
      </c>
      <c r="H266" s="5">
        <v>26368.75</v>
      </c>
    </row>
    <row r="267" spans="1:8" x14ac:dyDescent="0.3">
      <c r="A267">
        <v>4266</v>
      </c>
      <c r="B267">
        <v>1116</v>
      </c>
      <c r="C267">
        <v>2011</v>
      </c>
      <c r="D267">
        <v>3031</v>
      </c>
      <c r="E267">
        <v>3</v>
      </c>
      <c r="F267">
        <v>13</v>
      </c>
      <c r="G267" s="4">
        <v>45585</v>
      </c>
      <c r="H267" s="5">
        <v>19500.72</v>
      </c>
    </row>
    <row r="268" spans="1:8" x14ac:dyDescent="0.3">
      <c r="A268">
        <v>4267</v>
      </c>
      <c r="B268">
        <v>1001</v>
      </c>
      <c r="C268">
        <v>2001</v>
      </c>
      <c r="D268">
        <v>3018</v>
      </c>
      <c r="E268">
        <v>4</v>
      </c>
      <c r="F268">
        <v>23</v>
      </c>
      <c r="G268" s="4">
        <v>45592</v>
      </c>
      <c r="H268" s="5">
        <v>22143.7</v>
      </c>
    </row>
    <row r="269" spans="1:8" x14ac:dyDescent="0.3">
      <c r="A269">
        <v>4268</v>
      </c>
      <c r="B269">
        <v>1065</v>
      </c>
      <c r="C269">
        <v>2002</v>
      </c>
      <c r="D269">
        <v>3021</v>
      </c>
      <c r="E269">
        <v>4</v>
      </c>
      <c r="F269">
        <v>18</v>
      </c>
      <c r="G269" s="4">
        <v>45616</v>
      </c>
      <c r="H269" s="5">
        <v>31195.25</v>
      </c>
    </row>
    <row r="270" spans="1:8" x14ac:dyDescent="0.3">
      <c r="A270">
        <v>4269</v>
      </c>
      <c r="B270">
        <v>1282</v>
      </c>
      <c r="C270">
        <v>2019</v>
      </c>
      <c r="D270">
        <v>3024</v>
      </c>
      <c r="E270">
        <v>2</v>
      </c>
      <c r="F270">
        <v>8</v>
      </c>
      <c r="G270" s="4">
        <v>45585</v>
      </c>
      <c r="H270" s="5">
        <v>24962.74</v>
      </c>
    </row>
    <row r="271" spans="1:8" x14ac:dyDescent="0.3">
      <c r="A271">
        <v>4270</v>
      </c>
      <c r="B271">
        <v>1008</v>
      </c>
      <c r="C271">
        <v>2016</v>
      </c>
      <c r="D271">
        <v>3013</v>
      </c>
      <c r="E271">
        <v>5</v>
      </c>
      <c r="F271">
        <v>9</v>
      </c>
      <c r="G271" s="4">
        <v>45576</v>
      </c>
      <c r="H271" s="5">
        <v>55670.5</v>
      </c>
    </row>
    <row r="272" spans="1:8" x14ac:dyDescent="0.3">
      <c r="A272">
        <v>4271</v>
      </c>
      <c r="B272">
        <v>1229</v>
      </c>
      <c r="C272">
        <v>2024</v>
      </c>
      <c r="D272">
        <v>3016</v>
      </c>
      <c r="E272">
        <v>3</v>
      </c>
      <c r="F272">
        <v>21</v>
      </c>
      <c r="G272" s="4">
        <v>45586</v>
      </c>
      <c r="H272" s="5">
        <v>38803.839999999997</v>
      </c>
    </row>
    <row r="273" spans="1:8" x14ac:dyDescent="0.3">
      <c r="A273">
        <v>4272</v>
      </c>
      <c r="B273">
        <v>1213</v>
      </c>
      <c r="C273">
        <v>2024</v>
      </c>
      <c r="D273">
        <v>3004</v>
      </c>
      <c r="E273">
        <v>2</v>
      </c>
      <c r="F273">
        <v>8</v>
      </c>
      <c r="G273" s="4">
        <v>45604</v>
      </c>
      <c r="H273" s="5">
        <v>29995.8</v>
      </c>
    </row>
    <row r="274" spans="1:8" x14ac:dyDescent="0.3">
      <c r="A274">
        <v>4273</v>
      </c>
      <c r="B274">
        <v>1099</v>
      </c>
      <c r="C274">
        <v>2025</v>
      </c>
      <c r="D274">
        <v>3020</v>
      </c>
      <c r="E274">
        <v>1</v>
      </c>
      <c r="F274">
        <v>19</v>
      </c>
      <c r="G274" s="4">
        <v>45607</v>
      </c>
      <c r="H274" s="5">
        <v>13856.87</v>
      </c>
    </row>
    <row r="275" spans="1:8" x14ac:dyDescent="0.3">
      <c r="A275">
        <v>4274</v>
      </c>
      <c r="B275">
        <v>1060</v>
      </c>
      <c r="C275">
        <v>2021</v>
      </c>
      <c r="D275">
        <v>3032</v>
      </c>
      <c r="E275">
        <v>5</v>
      </c>
      <c r="F275">
        <v>17</v>
      </c>
      <c r="G275" s="4">
        <v>45585</v>
      </c>
      <c r="H275" s="5">
        <v>72946.73</v>
      </c>
    </row>
    <row r="276" spans="1:8" x14ac:dyDescent="0.3">
      <c r="A276">
        <v>4275</v>
      </c>
      <c r="B276">
        <v>1092</v>
      </c>
      <c r="C276">
        <v>2019</v>
      </c>
      <c r="D276">
        <v>3029</v>
      </c>
      <c r="E276">
        <v>4</v>
      </c>
      <c r="F276">
        <v>23</v>
      </c>
      <c r="G276" s="4">
        <v>45611</v>
      </c>
      <c r="H276" s="5">
        <v>41829.74</v>
      </c>
    </row>
    <row r="277" spans="1:8" x14ac:dyDescent="0.3">
      <c r="A277">
        <v>4276</v>
      </c>
      <c r="B277">
        <v>1075</v>
      </c>
      <c r="C277">
        <v>2024</v>
      </c>
      <c r="D277">
        <v>3027</v>
      </c>
      <c r="E277">
        <v>1</v>
      </c>
      <c r="F277">
        <v>30</v>
      </c>
      <c r="G277" s="4">
        <v>45612</v>
      </c>
      <c r="H277" s="5">
        <v>11398.54</v>
      </c>
    </row>
    <row r="278" spans="1:8" x14ac:dyDescent="0.3">
      <c r="A278">
        <v>4277</v>
      </c>
      <c r="B278">
        <v>1165</v>
      </c>
      <c r="C278">
        <v>2017</v>
      </c>
      <c r="D278">
        <v>3026</v>
      </c>
      <c r="E278">
        <v>5</v>
      </c>
      <c r="F278">
        <v>26</v>
      </c>
      <c r="G278" s="4">
        <v>45589</v>
      </c>
      <c r="H278" s="5">
        <v>30320.94</v>
      </c>
    </row>
    <row r="279" spans="1:8" x14ac:dyDescent="0.3">
      <c r="A279">
        <v>4278</v>
      </c>
      <c r="B279">
        <v>1068</v>
      </c>
      <c r="C279">
        <v>2007</v>
      </c>
      <c r="D279">
        <v>3013</v>
      </c>
      <c r="E279">
        <v>3</v>
      </c>
      <c r="F279">
        <v>14</v>
      </c>
      <c r="G279" s="4">
        <v>45613</v>
      </c>
      <c r="H279" s="5">
        <v>8824.4599999999991</v>
      </c>
    </row>
    <row r="280" spans="1:8" x14ac:dyDescent="0.3">
      <c r="A280">
        <v>4279</v>
      </c>
      <c r="B280">
        <v>1055</v>
      </c>
      <c r="C280">
        <v>2008</v>
      </c>
      <c r="D280">
        <v>3026</v>
      </c>
      <c r="E280">
        <v>4</v>
      </c>
      <c r="F280">
        <v>19</v>
      </c>
      <c r="G280" s="4">
        <v>45614</v>
      </c>
      <c r="H280" s="5">
        <v>6911.24</v>
      </c>
    </row>
    <row r="281" spans="1:8" x14ac:dyDescent="0.3">
      <c r="A281">
        <v>4280</v>
      </c>
      <c r="B281">
        <v>1029</v>
      </c>
      <c r="C281">
        <v>2011</v>
      </c>
      <c r="D281">
        <v>3027</v>
      </c>
      <c r="E281">
        <v>2</v>
      </c>
      <c r="F281">
        <v>15</v>
      </c>
      <c r="G281" s="4">
        <v>45608</v>
      </c>
      <c r="H281" s="5">
        <v>12791.01</v>
      </c>
    </row>
    <row r="282" spans="1:8" x14ac:dyDescent="0.3">
      <c r="A282">
        <v>4281</v>
      </c>
      <c r="B282">
        <v>1235</v>
      </c>
      <c r="C282">
        <v>2024</v>
      </c>
      <c r="D282">
        <v>3003</v>
      </c>
      <c r="E282">
        <v>1</v>
      </c>
      <c r="F282">
        <v>9</v>
      </c>
      <c r="G282" s="4">
        <v>45610</v>
      </c>
      <c r="H282" s="5">
        <v>14809.15</v>
      </c>
    </row>
    <row r="283" spans="1:8" x14ac:dyDescent="0.3">
      <c r="A283">
        <v>4282</v>
      </c>
      <c r="B283">
        <v>1115</v>
      </c>
      <c r="C283">
        <v>2001</v>
      </c>
      <c r="D283">
        <v>3010</v>
      </c>
      <c r="E283">
        <v>5</v>
      </c>
      <c r="F283">
        <v>12</v>
      </c>
      <c r="G283" s="4">
        <v>45594</v>
      </c>
      <c r="H283" s="5">
        <v>31658.639999999999</v>
      </c>
    </row>
    <row r="284" spans="1:8" x14ac:dyDescent="0.3">
      <c r="A284">
        <v>4283</v>
      </c>
      <c r="B284">
        <v>1236</v>
      </c>
      <c r="C284">
        <v>2003</v>
      </c>
      <c r="D284">
        <v>3025</v>
      </c>
      <c r="E284">
        <v>2</v>
      </c>
      <c r="F284">
        <v>28</v>
      </c>
      <c r="G284" s="4">
        <v>45577</v>
      </c>
      <c r="H284" s="5">
        <v>19077.63</v>
      </c>
    </row>
    <row r="285" spans="1:8" x14ac:dyDescent="0.3">
      <c r="A285">
        <v>4284</v>
      </c>
      <c r="B285">
        <v>1078</v>
      </c>
      <c r="C285">
        <v>2025</v>
      </c>
      <c r="D285">
        <v>3002</v>
      </c>
      <c r="E285">
        <v>5</v>
      </c>
      <c r="F285">
        <v>24</v>
      </c>
      <c r="G285" s="4">
        <v>45610</v>
      </c>
      <c r="H285" s="5">
        <v>64476.480000000003</v>
      </c>
    </row>
    <row r="286" spans="1:8" x14ac:dyDescent="0.3">
      <c r="A286">
        <v>4285</v>
      </c>
      <c r="B286">
        <v>1100</v>
      </c>
      <c r="C286">
        <v>2002</v>
      </c>
      <c r="D286">
        <v>3013</v>
      </c>
      <c r="E286">
        <v>1</v>
      </c>
      <c r="F286">
        <v>16</v>
      </c>
      <c r="G286" s="4">
        <v>45612</v>
      </c>
      <c r="H286" s="5">
        <v>7974.24</v>
      </c>
    </row>
    <row r="287" spans="1:8" x14ac:dyDescent="0.3">
      <c r="A287">
        <v>4286</v>
      </c>
      <c r="B287">
        <v>1141</v>
      </c>
      <c r="C287">
        <v>2001</v>
      </c>
      <c r="D287">
        <v>3004</v>
      </c>
      <c r="E287">
        <v>1</v>
      </c>
      <c r="F287">
        <v>0</v>
      </c>
      <c r="G287" s="4">
        <v>45609</v>
      </c>
      <c r="H287" s="5">
        <v>7216.44</v>
      </c>
    </row>
    <row r="288" spans="1:8" x14ac:dyDescent="0.3">
      <c r="A288">
        <v>4287</v>
      </c>
      <c r="B288">
        <v>1300</v>
      </c>
      <c r="C288">
        <v>2011</v>
      </c>
      <c r="D288">
        <v>3031</v>
      </c>
      <c r="E288">
        <v>5</v>
      </c>
      <c r="F288">
        <v>9</v>
      </c>
      <c r="G288" s="4">
        <v>45613</v>
      </c>
      <c r="H288" s="5">
        <v>34214.35</v>
      </c>
    </row>
    <row r="289" spans="1:8" x14ac:dyDescent="0.3">
      <c r="A289">
        <v>4288</v>
      </c>
      <c r="B289">
        <v>1063</v>
      </c>
      <c r="C289">
        <v>2008</v>
      </c>
      <c r="D289">
        <v>3004</v>
      </c>
      <c r="E289">
        <v>5</v>
      </c>
      <c r="F289">
        <v>5</v>
      </c>
      <c r="G289" s="4">
        <v>45579</v>
      </c>
      <c r="H289" s="5">
        <v>10103.280000000001</v>
      </c>
    </row>
    <row r="290" spans="1:8" x14ac:dyDescent="0.3">
      <c r="A290">
        <v>4289</v>
      </c>
      <c r="B290">
        <v>1132</v>
      </c>
      <c r="C290">
        <v>2022</v>
      </c>
      <c r="D290">
        <v>3004</v>
      </c>
      <c r="E290">
        <v>2</v>
      </c>
      <c r="F290">
        <v>15</v>
      </c>
      <c r="G290" s="4">
        <v>45607</v>
      </c>
      <c r="H290" s="5">
        <v>29105.279999999999</v>
      </c>
    </row>
    <row r="291" spans="1:8" x14ac:dyDescent="0.3">
      <c r="A291">
        <v>4290</v>
      </c>
      <c r="B291">
        <v>1008</v>
      </c>
      <c r="C291">
        <v>2003</v>
      </c>
      <c r="D291">
        <v>3018</v>
      </c>
      <c r="E291">
        <v>3</v>
      </c>
      <c r="F291">
        <v>27</v>
      </c>
      <c r="G291" s="4">
        <v>45595</v>
      </c>
      <c r="H291" s="5">
        <v>29065.32</v>
      </c>
    </row>
    <row r="292" spans="1:8" x14ac:dyDescent="0.3">
      <c r="A292">
        <v>4291</v>
      </c>
      <c r="B292">
        <v>1216</v>
      </c>
      <c r="C292">
        <v>2025</v>
      </c>
      <c r="D292">
        <v>3011</v>
      </c>
      <c r="E292">
        <v>3</v>
      </c>
      <c r="F292">
        <v>7</v>
      </c>
      <c r="G292" s="4">
        <v>45576</v>
      </c>
      <c r="H292" s="5">
        <v>47426.85</v>
      </c>
    </row>
    <row r="293" spans="1:8" x14ac:dyDescent="0.3">
      <c r="A293">
        <v>4292</v>
      </c>
      <c r="B293">
        <v>1285</v>
      </c>
      <c r="C293">
        <v>2014</v>
      </c>
      <c r="D293">
        <v>3009</v>
      </c>
      <c r="E293">
        <v>1</v>
      </c>
      <c r="F293">
        <v>8</v>
      </c>
      <c r="G293" s="4">
        <v>45576</v>
      </c>
      <c r="H293" s="5">
        <v>12693.66</v>
      </c>
    </row>
    <row r="294" spans="1:8" x14ac:dyDescent="0.3">
      <c r="A294">
        <v>4293</v>
      </c>
      <c r="B294">
        <v>1228</v>
      </c>
      <c r="C294">
        <v>2009</v>
      </c>
      <c r="D294">
        <v>3004</v>
      </c>
      <c r="E294">
        <v>3</v>
      </c>
      <c r="F294">
        <v>19</v>
      </c>
      <c r="G294" s="4">
        <v>45586</v>
      </c>
      <c r="H294" s="5">
        <v>26933.69</v>
      </c>
    </row>
    <row r="295" spans="1:8" x14ac:dyDescent="0.3">
      <c r="A295">
        <v>4294</v>
      </c>
      <c r="B295">
        <v>1235</v>
      </c>
      <c r="C295">
        <v>2014</v>
      </c>
      <c r="D295">
        <v>3017</v>
      </c>
      <c r="E295">
        <v>1</v>
      </c>
      <c r="F295">
        <v>23</v>
      </c>
      <c r="G295" s="4">
        <v>45610</v>
      </c>
      <c r="H295" s="5">
        <v>10669.97</v>
      </c>
    </row>
    <row r="296" spans="1:8" x14ac:dyDescent="0.3">
      <c r="A296">
        <v>4295</v>
      </c>
      <c r="B296">
        <v>1140</v>
      </c>
      <c r="C296">
        <v>2021</v>
      </c>
      <c r="D296">
        <v>3009</v>
      </c>
      <c r="E296">
        <v>2</v>
      </c>
      <c r="F296">
        <v>2</v>
      </c>
      <c r="G296" s="4">
        <v>45601</v>
      </c>
      <c r="H296" s="5">
        <v>34630.35</v>
      </c>
    </row>
    <row r="297" spans="1:8" x14ac:dyDescent="0.3">
      <c r="A297">
        <v>4296</v>
      </c>
      <c r="B297">
        <v>1236</v>
      </c>
      <c r="C297">
        <v>2017</v>
      </c>
      <c r="D297">
        <v>3023</v>
      </c>
      <c r="E297">
        <v>1</v>
      </c>
      <c r="F297">
        <v>3</v>
      </c>
      <c r="G297" s="4">
        <v>45604</v>
      </c>
      <c r="H297" s="5">
        <v>7935.51</v>
      </c>
    </row>
    <row r="298" spans="1:8" x14ac:dyDescent="0.3">
      <c r="A298">
        <v>4297</v>
      </c>
      <c r="B298">
        <v>1132</v>
      </c>
      <c r="C298">
        <v>2002</v>
      </c>
      <c r="D298">
        <v>3017</v>
      </c>
      <c r="E298">
        <v>4</v>
      </c>
      <c r="F298">
        <v>11</v>
      </c>
      <c r="G298" s="4">
        <v>45589</v>
      </c>
      <c r="H298" s="5">
        <v>33845.699999999997</v>
      </c>
    </row>
    <row r="299" spans="1:8" x14ac:dyDescent="0.3">
      <c r="A299">
        <v>4298</v>
      </c>
      <c r="B299">
        <v>1097</v>
      </c>
      <c r="C299">
        <v>2020</v>
      </c>
      <c r="D299">
        <v>3015</v>
      </c>
      <c r="E299">
        <v>5</v>
      </c>
      <c r="F299">
        <v>1</v>
      </c>
      <c r="G299" s="4">
        <v>45576</v>
      </c>
      <c r="H299" s="5">
        <v>22180.58</v>
      </c>
    </row>
    <row r="300" spans="1:8" x14ac:dyDescent="0.3">
      <c r="A300">
        <v>4299</v>
      </c>
      <c r="B300">
        <v>1063</v>
      </c>
      <c r="C300">
        <v>2014</v>
      </c>
      <c r="D300">
        <v>3030</v>
      </c>
      <c r="E300">
        <v>2</v>
      </c>
      <c r="F300">
        <v>17</v>
      </c>
      <c r="G300" s="4">
        <v>45585</v>
      </c>
      <c r="H300" s="5">
        <v>22852.18</v>
      </c>
    </row>
    <row r="301" spans="1:8" x14ac:dyDescent="0.3">
      <c r="A301">
        <v>4300</v>
      </c>
      <c r="B301">
        <v>1284</v>
      </c>
      <c r="C301">
        <v>2007</v>
      </c>
      <c r="D301">
        <v>3032</v>
      </c>
      <c r="E301">
        <v>2</v>
      </c>
      <c r="F301">
        <v>18</v>
      </c>
      <c r="G301" s="4">
        <v>45586</v>
      </c>
      <c r="H301" s="5">
        <v>5616.15</v>
      </c>
    </row>
    <row r="302" spans="1:8" x14ac:dyDescent="0.3">
      <c r="A302">
        <v>4301</v>
      </c>
      <c r="B302">
        <v>1146</v>
      </c>
      <c r="C302">
        <v>2024</v>
      </c>
      <c r="D302">
        <v>3014</v>
      </c>
      <c r="E302">
        <v>5</v>
      </c>
      <c r="F302">
        <v>24</v>
      </c>
      <c r="G302" s="4">
        <v>45599</v>
      </c>
      <c r="H302" s="5">
        <v>62159.040000000001</v>
      </c>
    </row>
    <row r="303" spans="1:8" x14ac:dyDescent="0.3">
      <c r="A303">
        <v>4302</v>
      </c>
      <c r="B303">
        <v>1126</v>
      </c>
      <c r="C303">
        <v>2022</v>
      </c>
      <c r="D303">
        <v>3027</v>
      </c>
      <c r="E303">
        <v>5</v>
      </c>
      <c r="F303">
        <v>21</v>
      </c>
      <c r="G303" s="4">
        <v>45595</v>
      </c>
      <c r="H303" s="5">
        <v>67326.97</v>
      </c>
    </row>
    <row r="304" spans="1:8" x14ac:dyDescent="0.3">
      <c r="A304">
        <v>4303</v>
      </c>
      <c r="B304">
        <v>1211</v>
      </c>
      <c r="C304">
        <v>2022</v>
      </c>
      <c r="D304">
        <v>3003</v>
      </c>
      <c r="E304">
        <v>3</v>
      </c>
      <c r="F304">
        <v>17</v>
      </c>
      <c r="G304" s="4">
        <v>45603</v>
      </c>
      <c r="H304" s="5">
        <v>42721.59</v>
      </c>
    </row>
    <row r="305" spans="1:8" x14ac:dyDescent="0.3">
      <c r="A305">
        <v>4304</v>
      </c>
      <c r="B305">
        <v>1173</v>
      </c>
      <c r="C305">
        <v>2019</v>
      </c>
      <c r="D305">
        <v>3023</v>
      </c>
      <c r="E305">
        <v>5</v>
      </c>
      <c r="F305">
        <v>27</v>
      </c>
      <c r="G305" s="4">
        <v>45575</v>
      </c>
      <c r="H305" s="5">
        <v>49433.79</v>
      </c>
    </row>
    <row r="306" spans="1:8" x14ac:dyDescent="0.3">
      <c r="A306">
        <v>4305</v>
      </c>
      <c r="B306">
        <v>1238</v>
      </c>
      <c r="C306">
        <v>2020</v>
      </c>
      <c r="D306">
        <v>3019</v>
      </c>
      <c r="E306">
        <v>3</v>
      </c>
      <c r="F306">
        <v>25</v>
      </c>
      <c r="G306" s="4">
        <v>45615</v>
      </c>
      <c r="H306" s="5">
        <v>10146.11</v>
      </c>
    </row>
    <row r="307" spans="1:8" x14ac:dyDescent="0.3">
      <c r="A307">
        <v>4306</v>
      </c>
      <c r="B307">
        <v>1092</v>
      </c>
      <c r="C307">
        <v>2023</v>
      </c>
      <c r="D307">
        <v>3023</v>
      </c>
      <c r="E307">
        <v>4</v>
      </c>
      <c r="F307">
        <v>5</v>
      </c>
      <c r="G307" s="4">
        <v>45614</v>
      </c>
      <c r="H307" s="5">
        <v>18242.13</v>
      </c>
    </row>
    <row r="308" spans="1:8" x14ac:dyDescent="0.3">
      <c r="A308">
        <v>4307</v>
      </c>
      <c r="B308">
        <v>1195</v>
      </c>
      <c r="C308">
        <v>2019</v>
      </c>
      <c r="D308">
        <v>3001</v>
      </c>
      <c r="E308">
        <v>4</v>
      </c>
      <c r="F308">
        <v>9</v>
      </c>
      <c r="G308" s="4">
        <v>45594</v>
      </c>
      <c r="H308" s="5">
        <v>49625.83</v>
      </c>
    </row>
    <row r="309" spans="1:8" x14ac:dyDescent="0.3">
      <c r="A309">
        <v>4308</v>
      </c>
      <c r="B309">
        <v>1242</v>
      </c>
      <c r="C309">
        <v>2023</v>
      </c>
      <c r="D309">
        <v>3004</v>
      </c>
      <c r="E309">
        <v>5</v>
      </c>
      <c r="F309">
        <v>6</v>
      </c>
      <c r="G309" s="4">
        <v>45577</v>
      </c>
      <c r="H309" s="5">
        <v>22589.33</v>
      </c>
    </row>
    <row r="310" spans="1:8" x14ac:dyDescent="0.3">
      <c r="A310">
        <v>4309</v>
      </c>
      <c r="B310">
        <v>1271</v>
      </c>
      <c r="C310">
        <v>2003</v>
      </c>
      <c r="D310">
        <v>3010</v>
      </c>
      <c r="E310">
        <v>5</v>
      </c>
      <c r="F310">
        <v>14</v>
      </c>
      <c r="G310" s="4">
        <v>45579</v>
      </c>
      <c r="H310" s="5">
        <v>56883.34</v>
      </c>
    </row>
    <row r="311" spans="1:8" x14ac:dyDescent="0.3">
      <c r="A311">
        <v>4310</v>
      </c>
      <c r="B311">
        <v>1148</v>
      </c>
      <c r="C311">
        <v>2008</v>
      </c>
      <c r="D311">
        <v>3029</v>
      </c>
      <c r="E311">
        <v>2</v>
      </c>
      <c r="F311">
        <v>30</v>
      </c>
      <c r="G311" s="4">
        <v>45589</v>
      </c>
      <c r="H311" s="5">
        <v>3009.62</v>
      </c>
    </row>
    <row r="312" spans="1:8" x14ac:dyDescent="0.3">
      <c r="A312">
        <v>4311</v>
      </c>
      <c r="B312">
        <v>1289</v>
      </c>
      <c r="C312">
        <v>2021</v>
      </c>
      <c r="D312">
        <v>3014</v>
      </c>
      <c r="E312">
        <v>2</v>
      </c>
      <c r="F312">
        <v>18</v>
      </c>
      <c r="G312" s="4">
        <v>45610</v>
      </c>
      <c r="H312" s="5">
        <v>28689.8</v>
      </c>
    </row>
    <row r="313" spans="1:8" x14ac:dyDescent="0.3">
      <c r="A313">
        <v>4312</v>
      </c>
      <c r="B313">
        <v>1161</v>
      </c>
      <c r="C313">
        <v>2010</v>
      </c>
      <c r="D313">
        <v>3031</v>
      </c>
      <c r="E313">
        <v>4</v>
      </c>
      <c r="F313">
        <v>27</v>
      </c>
      <c r="G313" s="4">
        <v>45587</v>
      </c>
      <c r="H313" s="5">
        <v>52229.81</v>
      </c>
    </row>
    <row r="314" spans="1:8" x14ac:dyDescent="0.3">
      <c r="A314">
        <v>4313</v>
      </c>
      <c r="B314">
        <v>1266</v>
      </c>
      <c r="C314">
        <v>2025</v>
      </c>
      <c r="D314">
        <v>3002</v>
      </c>
      <c r="E314">
        <v>1</v>
      </c>
      <c r="F314">
        <v>5</v>
      </c>
      <c r="G314" s="4">
        <v>45606</v>
      </c>
      <c r="H314" s="5">
        <v>16099.97</v>
      </c>
    </row>
    <row r="315" spans="1:8" x14ac:dyDescent="0.3">
      <c r="A315">
        <v>4314</v>
      </c>
      <c r="B315">
        <v>1239</v>
      </c>
      <c r="C315">
        <v>2001</v>
      </c>
      <c r="D315">
        <v>3011</v>
      </c>
      <c r="E315">
        <v>2</v>
      </c>
      <c r="F315">
        <v>16</v>
      </c>
      <c r="G315" s="4">
        <v>45601</v>
      </c>
      <c r="H315" s="5">
        <v>12177.73</v>
      </c>
    </row>
    <row r="316" spans="1:8" x14ac:dyDescent="0.3">
      <c r="A316">
        <v>4315</v>
      </c>
      <c r="B316">
        <v>1017</v>
      </c>
      <c r="C316">
        <v>2001</v>
      </c>
      <c r="D316">
        <v>3003</v>
      </c>
      <c r="E316">
        <v>4</v>
      </c>
      <c r="F316">
        <v>27</v>
      </c>
      <c r="G316" s="4">
        <v>45587</v>
      </c>
      <c r="H316" s="5">
        <v>21102.87</v>
      </c>
    </row>
    <row r="317" spans="1:8" x14ac:dyDescent="0.3">
      <c r="A317">
        <v>4316</v>
      </c>
      <c r="B317">
        <v>1272</v>
      </c>
      <c r="C317">
        <v>2011</v>
      </c>
      <c r="D317">
        <v>3009</v>
      </c>
      <c r="E317">
        <v>2</v>
      </c>
      <c r="F317">
        <v>21</v>
      </c>
      <c r="G317" s="4">
        <v>45610</v>
      </c>
      <c r="H317" s="5">
        <v>11870.85</v>
      </c>
    </row>
    <row r="318" spans="1:8" x14ac:dyDescent="0.3">
      <c r="A318">
        <v>4317</v>
      </c>
      <c r="B318">
        <v>1289</v>
      </c>
      <c r="C318">
        <v>2009</v>
      </c>
      <c r="D318">
        <v>3035</v>
      </c>
      <c r="E318">
        <v>3</v>
      </c>
      <c r="F318">
        <v>9</v>
      </c>
      <c r="G318" s="4">
        <v>45583</v>
      </c>
      <c r="H318" s="5">
        <v>30217.96</v>
      </c>
    </row>
    <row r="319" spans="1:8" x14ac:dyDescent="0.3">
      <c r="A319">
        <v>4318</v>
      </c>
      <c r="B319">
        <v>1299</v>
      </c>
      <c r="C319">
        <v>2025</v>
      </c>
      <c r="D319">
        <v>3027</v>
      </c>
      <c r="E319">
        <v>2</v>
      </c>
      <c r="F319">
        <v>29</v>
      </c>
      <c r="G319" s="4">
        <v>45607</v>
      </c>
      <c r="H319" s="5">
        <v>24058.06</v>
      </c>
    </row>
    <row r="320" spans="1:8" x14ac:dyDescent="0.3">
      <c r="A320">
        <v>4319</v>
      </c>
      <c r="B320">
        <v>1078</v>
      </c>
      <c r="C320">
        <v>2019</v>
      </c>
      <c r="D320">
        <v>3034</v>
      </c>
      <c r="E320">
        <v>1</v>
      </c>
      <c r="F320">
        <v>25</v>
      </c>
      <c r="G320" s="4">
        <v>45592</v>
      </c>
      <c r="H320" s="5">
        <v>10183.67</v>
      </c>
    </row>
    <row r="321" spans="1:8" x14ac:dyDescent="0.3">
      <c r="A321">
        <v>4320</v>
      </c>
      <c r="B321">
        <v>1244</v>
      </c>
      <c r="C321">
        <v>2005</v>
      </c>
      <c r="D321">
        <v>3032</v>
      </c>
      <c r="E321">
        <v>5</v>
      </c>
      <c r="F321">
        <v>11</v>
      </c>
      <c r="G321" s="4">
        <v>45584</v>
      </c>
      <c r="H321" s="5">
        <v>17130.3</v>
      </c>
    </row>
    <row r="322" spans="1:8" x14ac:dyDescent="0.3">
      <c r="A322">
        <v>4321</v>
      </c>
      <c r="B322">
        <v>1059</v>
      </c>
      <c r="C322">
        <v>2009</v>
      </c>
      <c r="D322">
        <v>3026</v>
      </c>
      <c r="E322">
        <v>4</v>
      </c>
      <c r="F322">
        <v>13</v>
      </c>
      <c r="G322" s="4">
        <v>45575</v>
      </c>
      <c r="H322" s="5">
        <v>38227.040000000001</v>
      </c>
    </row>
    <row r="323" spans="1:8" x14ac:dyDescent="0.3">
      <c r="A323">
        <v>4322</v>
      </c>
      <c r="B323">
        <v>1237</v>
      </c>
      <c r="C323">
        <v>2015</v>
      </c>
      <c r="D323">
        <v>3012</v>
      </c>
      <c r="E323">
        <v>3</v>
      </c>
      <c r="F323">
        <v>25</v>
      </c>
      <c r="G323" s="4">
        <v>45589</v>
      </c>
      <c r="H323" s="5">
        <v>39677.660000000003</v>
      </c>
    </row>
    <row r="324" spans="1:8" x14ac:dyDescent="0.3">
      <c r="A324">
        <v>4323</v>
      </c>
      <c r="B324">
        <v>1133</v>
      </c>
      <c r="C324">
        <v>2015</v>
      </c>
      <c r="D324">
        <v>3019</v>
      </c>
      <c r="E324">
        <v>4</v>
      </c>
      <c r="F324">
        <v>21</v>
      </c>
      <c r="G324" s="4">
        <v>45583</v>
      </c>
      <c r="H324" s="5">
        <v>55424.43</v>
      </c>
    </row>
    <row r="325" spans="1:8" x14ac:dyDescent="0.3">
      <c r="A325">
        <v>4324</v>
      </c>
      <c r="B325">
        <v>1234</v>
      </c>
      <c r="C325">
        <v>2002</v>
      </c>
      <c r="D325">
        <v>3022</v>
      </c>
      <c r="E325">
        <v>2</v>
      </c>
      <c r="F325">
        <v>4</v>
      </c>
      <c r="G325" s="4">
        <v>45587</v>
      </c>
      <c r="H325" s="5">
        <v>18257.61</v>
      </c>
    </row>
    <row r="326" spans="1:8" x14ac:dyDescent="0.3">
      <c r="A326">
        <v>4325</v>
      </c>
      <c r="B326">
        <v>1197</v>
      </c>
      <c r="C326">
        <v>2007</v>
      </c>
      <c r="D326">
        <v>3034</v>
      </c>
      <c r="E326">
        <v>2</v>
      </c>
      <c r="F326">
        <v>9</v>
      </c>
      <c r="G326" s="4">
        <v>45590</v>
      </c>
      <c r="H326" s="5">
        <v>6181.18</v>
      </c>
    </row>
    <row r="327" spans="1:8" x14ac:dyDescent="0.3">
      <c r="A327">
        <v>4326</v>
      </c>
      <c r="B327">
        <v>1144</v>
      </c>
      <c r="C327">
        <v>2012</v>
      </c>
      <c r="D327">
        <v>3031</v>
      </c>
      <c r="E327">
        <v>4</v>
      </c>
      <c r="F327">
        <v>1</v>
      </c>
      <c r="G327" s="4">
        <v>45613</v>
      </c>
      <c r="H327" s="5">
        <v>46808.19</v>
      </c>
    </row>
    <row r="328" spans="1:8" x14ac:dyDescent="0.3">
      <c r="A328">
        <v>4327</v>
      </c>
      <c r="B328">
        <v>1230</v>
      </c>
      <c r="C328">
        <v>2020</v>
      </c>
      <c r="D328">
        <v>3004</v>
      </c>
      <c r="E328">
        <v>2</v>
      </c>
      <c r="F328">
        <v>12</v>
      </c>
      <c r="G328" s="4">
        <v>45612</v>
      </c>
      <c r="H328" s="5">
        <v>7888.72</v>
      </c>
    </row>
    <row r="329" spans="1:8" x14ac:dyDescent="0.3">
      <c r="A329">
        <v>4328</v>
      </c>
      <c r="B329">
        <v>1215</v>
      </c>
      <c r="C329">
        <v>2015</v>
      </c>
      <c r="D329">
        <v>3034</v>
      </c>
      <c r="E329">
        <v>2</v>
      </c>
      <c r="F329">
        <v>13</v>
      </c>
      <c r="G329" s="4">
        <v>45579</v>
      </c>
      <c r="H329" s="5">
        <v>30557.02</v>
      </c>
    </row>
    <row r="330" spans="1:8" x14ac:dyDescent="0.3">
      <c r="A330">
        <v>4329</v>
      </c>
      <c r="B330">
        <v>1216</v>
      </c>
      <c r="C330">
        <v>2008</v>
      </c>
      <c r="D330">
        <v>3029</v>
      </c>
      <c r="E330">
        <v>2</v>
      </c>
      <c r="F330">
        <v>22</v>
      </c>
      <c r="G330" s="4">
        <v>45607</v>
      </c>
      <c r="H330" s="5">
        <v>3342.41</v>
      </c>
    </row>
    <row r="331" spans="1:8" x14ac:dyDescent="0.3">
      <c r="A331">
        <v>4330</v>
      </c>
      <c r="B331">
        <v>1253</v>
      </c>
      <c r="C331">
        <v>2025</v>
      </c>
      <c r="D331">
        <v>3022</v>
      </c>
      <c r="E331">
        <v>5</v>
      </c>
      <c r="F331">
        <v>5</v>
      </c>
      <c r="G331" s="4">
        <v>45575</v>
      </c>
      <c r="H331" s="5">
        <v>81044.479999999996</v>
      </c>
    </row>
    <row r="332" spans="1:8" x14ac:dyDescent="0.3">
      <c r="A332">
        <v>4331</v>
      </c>
      <c r="B332">
        <v>1142</v>
      </c>
      <c r="C332">
        <v>2018</v>
      </c>
      <c r="D332">
        <v>3022</v>
      </c>
      <c r="E332">
        <v>1</v>
      </c>
      <c r="F332">
        <v>14</v>
      </c>
      <c r="G332" s="4">
        <v>45616</v>
      </c>
      <c r="H332" s="5">
        <v>6200.01</v>
      </c>
    </row>
    <row r="333" spans="1:8" x14ac:dyDescent="0.3">
      <c r="A333">
        <v>4332</v>
      </c>
      <c r="B333">
        <v>1104</v>
      </c>
      <c r="C333">
        <v>2018</v>
      </c>
      <c r="D333">
        <v>3020</v>
      </c>
      <c r="E333">
        <v>2</v>
      </c>
      <c r="F333">
        <v>27</v>
      </c>
      <c r="G333" s="4">
        <v>45605</v>
      </c>
      <c r="H333" s="5">
        <v>10560.29</v>
      </c>
    </row>
    <row r="334" spans="1:8" x14ac:dyDescent="0.3">
      <c r="A334">
        <v>4333</v>
      </c>
      <c r="B334">
        <v>1253</v>
      </c>
      <c r="C334">
        <v>2014</v>
      </c>
      <c r="D334">
        <v>3029</v>
      </c>
      <c r="E334">
        <v>4</v>
      </c>
      <c r="F334">
        <v>18</v>
      </c>
      <c r="G334" s="4">
        <v>45584</v>
      </c>
      <c r="H334" s="5">
        <v>45168.03</v>
      </c>
    </row>
    <row r="335" spans="1:8" x14ac:dyDescent="0.3">
      <c r="A335">
        <v>4334</v>
      </c>
      <c r="B335">
        <v>1231</v>
      </c>
      <c r="C335">
        <v>2005</v>
      </c>
      <c r="D335">
        <v>3021</v>
      </c>
      <c r="E335">
        <v>5</v>
      </c>
      <c r="F335">
        <v>24</v>
      </c>
      <c r="G335" s="4">
        <v>45607</v>
      </c>
      <c r="H335" s="5">
        <v>14525.35</v>
      </c>
    </row>
    <row r="336" spans="1:8" x14ac:dyDescent="0.3">
      <c r="A336">
        <v>4335</v>
      </c>
      <c r="B336">
        <v>1141</v>
      </c>
      <c r="C336">
        <v>2004</v>
      </c>
      <c r="D336">
        <v>3001</v>
      </c>
      <c r="E336">
        <v>5</v>
      </c>
      <c r="F336">
        <v>7</v>
      </c>
      <c r="G336" s="4">
        <v>45601</v>
      </c>
      <c r="H336" s="5">
        <v>22927.759999999998</v>
      </c>
    </row>
    <row r="337" spans="1:8" x14ac:dyDescent="0.3">
      <c r="A337">
        <v>4336</v>
      </c>
      <c r="B337">
        <v>1037</v>
      </c>
      <c r="C337">
        <v>2003</v>
      </c>
      <c r="D337">
        <v>3032</v>
      </c>
      <c r="E337">
        <v>5</v>
      </c>
      <c r="F337">
        <v>29</v>
      </c>
      <c r="G337" s="4">
        <v>45603</v>
      </c>
      <c r="H337" s="5">
        <v>46747.35</v>
      </c>
    </row>
    <row r="338" spans="1:8" x14ac:dyDescent="0.3">
      <c r="A338">
        <v>4337</v>
      </c>
      <c r="B338">
        <v>1253</v>
      </c>
      <c r="C338">
        <v>2007</v>
      </c>
      <c r="D338">
        <v>3026</v>
      </c>
      <c r="E338">
        <v>4</v>
      </c>
      <c r="F338">
        <v>9</v>
      </c>
      <c r="G338" s="4">
        <v>45579</v>
      </c>
      <c r="H338" s="5">
        <v>12371.91</v>
      </c>
    </row>
    <row r="339" spans="1:8" x14ac:dyDescent="0.3">
      <c r="A339">
        <v>4338</v>
      </c>
      <c r="B339">
        <v>1265</v>
      </c>
      <c r="C339">
        <v>2015</v>
      </c>
      <c r="D339">
        <v>3007</v>
      </c>
      <c r="E339">
        <v>3</v>
      </c>
      <c r="F339">
        <v>26</v>
      </c>
      <c r="G339" s="4">
        <v>45609</v>
      </c>
      <c r="H339" s="5">
        <v>38874.910000000003</v>
      </c>
    </row>
    <row r="340" spans="1:8" x14ac:dyDescent="0.3">
      <c r="A340">
        <v>4339</v>
      </c>
      <c r="B340">
        <v>1185</v>
      </c>
      <c r="C340">
        <v>2008</v>
      </c>
      <c r="D340">
        <v>3024</v>
      </c>
      <c r="E340">
        <v>2</v>
      </c>
      <c r="F340">
        <v>23</v>
      </c>
      <c r="G340" s="4">
        <v>45605</v>
      </c>
      <c r="H340" s="5">
        <v>3306.1</v>
      </c>
    </row>
    <row r="341" spans="1:8" x14ac:dyDescent="0.3">
      <c r="A341">
        <v>4340</v>
      </c>
      <c r="B341">
        <v>1235</v>
      </c>
      <c r="C341">
        <v>2004</v>
      </c>
      <c r="D341">
        <v>3007</v>
      </c>
      <c r="E341">
        <v>2</v>
      </c>
      <c r="F341">
        <v>26</v>
      </c>
      <c r="G341" s="4">
        <v>45611</v>
      </c>
      <c r="H341" s="5">
        <v>7348.77</v>
      </c>
    </row>
    <row r="342" spans="1:8" x14ac:dyDescent="0.3">
      <c r="A342">
        <v>4341</v>
      </c>
      <c r="B342">
        <v>1039</v>
      </c>
      <c r="C342">
        <v>2013</v>
      </c>
      <c r="D342">
        <v>3031</v>
      </c>
      <c r="E342">
        <v>1</v>
      </c>
      <c r="F342">
        <v>17</v>
      </c>
      <c r="G342" s="4">
        <v>45613</v>
      </c>
      <c r="H342" s="5">
        <v>9804.11</v>
      </c>
    </row>
    <row r="343" spans="1:8" x14ac:dyDescent="0.3">
      <c r="A343">
        <v>4342</v>
      </c>
      <c r="B343">
        <v>1014</v>
      </c>
      <c r="C343">
        <v>2008</v>
      </c>
      <c r="D343">
        <v>3033</v>
      </c>
      <c r="E343">
        <v>5</v>
      </c>
      <c r="F343">
        <v>3</v>
      </c>
      <c r="G343" s="4">
        <v>45607</v>
      </c>
      <c r="H343" s="5">
        <v>10378.82</v>
      </c>
    </row>
    <row r="344" spans="1:8" x14ac:dyDescent="0.3">
      <c r="A344">
        <v>4343</v>
      </c>
      <c r="B344">
        <v>1167</v>
      </c>
      <c r="C344">
        <v>2020</v>
      </c>
      <c r="D344">
        <v>3015</v>
      </c>
      <c r="E344">
        <v>3</v>
      </c>
      <c r="F344">
        <v>10</v>
      </c>
      <c r="G344" s="4">
        <v>45604</v>
      </c>
      <c r="H344" s="5">
        <v>12086.61</v>
      </c>
    </row>
    <row r="345" spans="1:8" x14ac:dyDescent="0.3">
      <c r="A345">
        <v>4344</v>
      </c>
      <c r="B345">
        <v>1164</v>
      </c>
      <c r="C345">
        <v>2025</v>
      </c>
      <c r="D345">
        <v>3033</v>
      </c>
      <c r="E345">
        <v>5</v>
      </c>
      <c r="F345">
        <v>9</v>
      </c>
      <c r="G345" s="4">
        <v>45588</v>
      </c>
      <c r="H345" s="5">
        <v>77215.199999999997</v>
      </c>
    </row>
    <row r="346" spans="1:8" x14ac:dyDescent="0.3">
      <c r="A346">
        <v>4345</v>
      </c>
      <c r="B346">
        <v>1038</v>
      </c>
      <c r="C346">
        <v>2012</v>
      </c>
      <c r="D346">
        <v>3030</v>
      </c>
      <c r="E346">
        <v>4</v>
      </c>
      <c r="F346">
        <v>6</v>
      </c>
      <c r="G346" s="4">
        <v>45604</v>
      </c>
      <c r="H346" s="5">
        <v>44819.29</v>
      </c>
    </row>
    <row r="347" spans="1:8" x14ac:dyDescent="0.3">
      <c r="A347">
        <v>4346</v>
      </c>
      <c r="B347">
        <v>1109</v>
      </c>
      <c r="C347">
        <v>2005</v>
      </c>
      <c r="D347">
        <v>3034</v>
      </c>
      <c r="E347">
        <v>2</v>
      </c>
      <c r="F347">
        <v>19</v>
      </c>
      <c r="G347" s="4">
        <v>45578</v>
      </c>
      <c r="H347" s="5">
        <v>6208.25</v>
      </c>
    </row>
    <row r="348" spans="1:8" x14ac:dyDescent="0.3">
      <c r="A348">
        <v>4347</v>
      </c>
      <c r="B348">
        <v>1034</v>
      </c>
      <c r="C348">
        <v>2010</v>
      </c>
      <c r="D348">
        <v>3030</v>
      </c>
      <c r="E348">
        <v>5</v>
      </c>
      <c r="F348">
        <v>8</v>
      </c>
      <c r="G348" s="4">
        <v>45604</v>
      </c>
      <c r="H348" s="5">
        <v>82506.759999999995</v>
      </c>
    </row>
    <row r="349" spans="1:8" x14ac:dyDescent="0.3">
      <c r="A349">
        <v>4348</v>
      </c>
      <c r="B349">
        <v>1057</v>
      </c>
      <c r="C349">
        <v>2001</v>
      </c>
      <c r="D349">
        <v>3028</v>
      </c>
      <c r="E349">
        <v>4</v>
      </c>
      <c r="F349">
        <v>9</v>
      </c>
      <c r="G349" s="4">
        <v>45591</v>
      </c>
      <c r="H349" s="5">
        <v>26387.98</v>
      </c>
    </row>
    <row r="350" spans="1:8" x14ac:dyDescent="0.3">
      <c r="A350">
        <v>4349</v>
      </c>
      <c r="B350">
        <v>1162</v>
      </c>
      <c r="C350">
        <v>2010</v>
      </c>
      <c r="D350">
        <v>3016</v>
      </c>
      <c r="E350">
        <v>2</v>
      </c>
      <c r="F350">
        <v>0</v>
      </c>
      <c r="G350" s="4">
        <v>45576</v>
      </c>
      <c r="H350" s="5">
        <v>35767.85</v>
      </c>
    </row>
    <row r="351" spans="1:8" x14ac:dyDescent="0.3">
      <c r="A351">
        <v>4350</v>
      </c>
      <c r="B351">
        <v>1285</v>
      </c>
      <c r="C351">
        <v>2024</v>
      </c>
      <c r="D351">
        <v>3027</v>
      </c>
      <c r="E351">
        <v>2</v>
      </c>
      <c r="F351">
        <v>24</v>
      </c>
      <c r="G351" s="4">
        <v>45575</v>
      </c>
      <c r="H351" s="5">
        <v>24629.3</v>
      </c>
    </row>
    <row r="352" spans="1:8" x14ac:dyDescent="0.3">
      <c r="A352">
        <v>4351</v>
      </c>
      <c r="B352">
        <v>1275</v>
      </c>
      <c r="C352">
        <v>2003</v>
      </c>
      <c r="D352">
        <v>3015</v>
      </c>
      <c r="E352">
        <v>2</v>
      </c>
      <c r="F352">
        <v>9</v>
      </c>
      <c r="G352" s="4">
        <v>45587</v>
      </c>
      <c r="H352" s="5">
        <v>24111.86</v>
      </c>
    </row>
    <row r="353" spans="1:8" x14ac:dyDescent="0.3">
      <c r="A353">
        <v>4352</v>
      </c>
      <c r="B353">
        <v>1002</v>
      </c>
      <c r="C353">
        <v>2012</v>
      </c>
      <c r="D353">
        <v>3022</v>
      </c>
      <c r="E353">
        <v>4</v>
      </c>
      <c r="F353">
        <v>21</v>
      </c>
      <c r="G353" s="4">
        <v>45579</v>
      </c>
      <c r="H353" s="5">
        <v>37551.93</v>
      </c>
    </row>
    <row r="354" spans="1:8" x14ac:dyDescent="0.3">
      <c r="A354">
        <v>4353</v>
      </c>
      <c r="B354">
        <v>1265</v>
      </c>
      <c r="C354">
        <v>2025</v>
      </c>
      <c r="D354">
        <v>3028</v>
      </c>
      <c r="E354">
        <v>3</v>
      </c>
      <c r="F354">
        <v>26</v>
      </c>
      <c r="G354" s="4">
        <v>45603</v>
      </c>
      <c r="H354" s="5">
        <v>37899.61</v>
      </c>
    </row>
    <row r="355" spans="1:8" x14ac:dyDescent="0.3">
      <c r="A355">
        <v>4354</v>
      </c>
      <c r="B355">
        <v>1203</v>
      </c>
      <c r="C355">
        <v>2005</v>
      </c>
      <c r="D355">
        <v>3022</v>
      </c>
      <c r="E355">
        <v>1</v>
      </c>
      <c r="F355">
        <v>0</v>
      </c>
      <c r="G355" s="4">
        <v>45597</v>
      </c>
      <c r="H355" s="5">
        <v>3810.01</v>
      </c>
    </row>
    <row r="356" spans="1:8" x14ac:dyDescent="0.3">
      <c r="A356">
        <v>4355</v>
      </c>
      <c r="B356">
        <v>1035</v>
      </c>
      <c r="C356">
        <v>2003</v>
      </c>
      <c r="D356">
        <v>3034</v>
      </c>
      <c r="E356">
        <v>1</v>
      </c>
      <c r="F356">
        <v>18</v>
      </c>
      <c r="G356" s="4">
        <v>45606</v>
      </c>
      <c r="H356" s="5">
        <v>10874.83</v>
      </c>
    </row>
    <row r="357" spans="1:8" x14ac:dyDescent="0.3">
      <c r="A357">
        <v>4356</v>
      </c>
      <c r="B357">
        <v>1130</v>
      </c>
      <c r="C357">
        <v>2009</v>
      </c>
      <c r="D357">
        <v>3015</v>
      </c>
      <c r="E357">
        <v>4</v>
      </c>
      <c r="F357">
        <v>15</v>
      </c>
      <c r="G357" s="4">
        <v>45592</v>
      </c>
      <c r="H357" s="5">
        <v>37497.94</v>
      </c>
    </row>
    <row r="358" spans="1:8" x14ac:dyDescent="0.3">
      <c r="A358">
        <v>4357</v>
      </c>
      <c r="B358">
        <v>1016</v>
      </c>
      <c r="C358">
        <v>2024</v>
      </c>
      <c r="D358">
        <v>3020</v>
      </c>
      <c r="E358">
        <v>2</v>
      </c>
      <c r="F358">
        <v>9</v>
      </c>
      <c r="G358" s="4">
        <v>45585</v>
      </c>
      <c r="H358" s="5">
        <v>29702.91</v>
      </c>
    </row>
    <row r="359" spans="1:8" x14ac:dyDescent="0.3">
      <c r="A359">
        <v>4358</v>
      </c>
      <c r="B359">
        <v>1290</v>
      </c>
      <c r="C359">
        <v>2017</v>
      </c>
      <c r="D359">
        <v>3012</v>
      </c>
      <c r="E359">
        <v>4</v>
      </c>
      <c r="F359">
        <v>14</v>
      </c>
      <c r="G359" s="4">
        <v>45613</v>
      </c>
      <c r="H359" s="5">
        <v>28189.31</v>
      </c>
    </row>
    <row r="360" spans="1:8" x14ac:dyDescent="0.3">
      <c r="A360">
        <v>4359</v>
      </c>
      <c r="B360">
        <v>1217</v>
      </c>
      <c r="C360">
        <v>2008</v>
      </c>
      <c r="D360">
        <v>3003</v>
      </c>
      <c r="E360">
        <v>3</v>
      </c>
      <c r="F360">
        <v>8</v>
      </c>
      <c r="G360" s="4">
        <v>45575</v>
      </c>
      <c r="H360" s="5">
        <v>5906.25</v>
      </c>
    </row>
    <row r="361" spans="1:8" x14ac:dyDescent="0.3">
      <c r="A361">
        <v>4360</v>
      </c>
      <c r="B361">
        <v>1121</v>
      </c>
      <c r="C361">
        <v>2010</v>
      </c>
      <c r="D361">
        <v>3018</v>
      </c>
      <c r="E361">
        <v>2</v>
      </c>
      <c r="F361">
        <v>29</v>
      </c>
      <c r="G361" s="4">
        <v>45609</v>
      </c>
      <c r="H361" s="5">
        <v>25266.02</v>
      </c>
    </row>
    <row r="362" spans="1:8" x14ac:dyDescent="0.3">
      <c r="A362">
        <v>4361</v>
      </c>
      <c r="B362">
        <v>1062</v>
      </c>
      <c r="C362">
        <v>2020</v>
      </c>
      <c r="D362">
        <v>3026</v>
      </c>
      <c r="E362">
        <v>4</v>
      </c>
      <c r="F362">
        <v>9</v>
      </c>
      <c r="G362" s="4">
        <v>45604</v>
      </c>
      <c r="H362" s="5">
        <v>16381.58</v>
      </c>
    </row>
    <row r="363" spans="1:8" x14ac:dyDescent="0.3">
      <c r="A363">
        <v>4362</v>
      </c>
      <c r="B363">
        <v>1118</v>
      </c>
      <c r="C363">
        <v>2005</v>
      </c>
      <c r="D363">
        <v>3020</v>
      </c>
      <c r="E363">
        <v>3</v>
      </c>
      <c r="F363">
        <v>5</v>
      </c>
      <c r="G363" s="4">
        <v>45589</v>
      </c>
      <c r="H363" s="5">
        <v>10889.13</v>
      </c>
    </row>
    <row r="364" spans="1:8" x14ac:dyDescent="0.3">
      <c r="A364">
        <v>4363</v>
      </c>
      <c r="B364">
        <v>1200</v>
      </c>
      <c r="C364">
        <v>2003</v>
      </c>
      <c r="D364">
        <v>3014</v>
      </c>
      <c r="E364">
        <v>2</v>
      </c>
      <c r="F364">
        <v>5</v>
      </c>
      <c r="G364" s="4">
        <v>45591</v>
      </c>
      <c r="H364" s="5">
        <v>25160.55</v>
      </c>
    </row>
    <row r="365" spans="1:8" x14ac:dyDescent="0.3">
      <c r="A365">
        <v>4364</v>
      </c>
      <c r="B365">
        <v>1175</v>
      </c>
      <c r="C365">
        <v>2023</v>
      </c>
      <c r="D365">
        <v>3020</v>
      </c>
      <c r="E365">
        <v>2</v>
      </c>
      <c r="F365">
        <v>24</v>
      </c>
      <c r="G365" s="4">
        <v>45585</v>
      </c>
      <c r="H365" s="5">
        <v>7248.53</v>
      </c>
    </row>
    <row r="366" spans="1:8" x14ac:dyDescent="0.3">
      <c r="A366">
        <v>4365</v>
      </c>
      <c r="B366">
        <v>1201</v>
      </c>
      <c r="C366">
        <v>2011</v>
      </c>
      <c r="D366">
        <v>3001</v>
      </c>
      <c r="E366">
        <v>5</v>
      </c>
      <c r="F366">
        <v>5</v>
      </c>
      <c r="G366" s="4">
        <v>45600</v>
      </c>
      <c r="H366" s="5">
        <v>35358.949999999997</v>
      </c>
    </row>
    <row r="367" spans="1:8" x14ac:dyDescent="0.3">
      <c r="A367">
        <v>4366</v>
      </c>
      <c r="B367">
        <v>1233</v>
      </c>
      <c r="C367">
        <v>2021</v>
      </c>
      <c r="D367">
        <v>3030</v>
      </c>
      <c r="E367">
        <v>5</v>
      </c>
      <c r="F367">
        <v>7</v>
      </c>
      <c r="G367" s="4">
        <v>45583</v>
      </c>
      <c r="H367" s="5">
        <v>82065.070000000007</v>
      </c>
    </row>
    <row r="368" spans="1:8" x14ac:dyDescent="0.3">
      <c r="A368">
        <v>4367</v>
      </c>
      <c r="B368">
        <v>1092</v>
      </c>
      <c r="C368">
        <v>2021</v>
      </c>
      <c r="D368">
        <v>3025</v>
      </c>
      <c r="E368">
        <v>2</v>
      </c>
      <c r="F368">
        <v>16</v>
      </c>
      <c r="G368" s="4">
        <v>45604</v>
      </c>
      <c r="H368" s="5">
        <v>29453.03</v>
      </c>
    </row>
    <row r="369" spans="1:8" x14ac:dyDescent="0.3">
      <c r="A369">
        <v>4368</v>
      </c>
      <c r="B369">
        <v>1153</v>
      </c>
      <c r="C369">
        <v>2001</v>
      </c>
      <c r="D369">
        <v>3020</v>
      </c>
      <c r="E369">
        <v>2</v>
      </c>
      <c r="F369">
        <v>30</v>
      </c>
      <c r="G369" s="4">
        <v>45597</v>
      </c>
      <c r="H369" s="5">
        <v>10178.469999999999</v>
      </c>
    </row>
    <row r="370" spans="1:8" x14ac:dyDescent="0.3">
      <c r="A370">
        <v>4369</v>
      </c>
      <c r="B370">
        <v>1274</v>
      </c>
      <c r="C370">
        <v>2002</v>
      </c>
      <c r="D370">
        <v>3007</v>
      </c>
      <c r="E370">
        <v>2</v>
      </c>
      <c r="F370">
        <v>21</v>
      </c>
      <c r="G370" s="4">
        <v>45612</v>
      </c>
      <c r="H370" s="5">
        <v>15115.2</v>
      </c>
    </row>
    <row r="371" spans="1:8" x14ac:dyDescent="0.3">
      <c r="A371">
        <v>4370</v>
      </c>
      <c r="B371">
        <v>1045</v>
      </c>
      <c r="C371">
        <v>2025</v>
      </c>
      <c r="D371">
        <v>3017</v>
      </c>
      <c r="E371">
        <v>3</v>
      </c>
      <c r="F371">
        <v>25</v>
      </c>
      <c r="G371" s="4">
        <v>45592</v>
      </c>
      <c r="H371" s="5">
        <v>38415.29</v>
      </c>
    </row>
    <row r="372" spans="1:8" x14ac:dyDescent="0.3">
      <c r="A372">
        <v>4371</v>
      </c>
      <c r="B372">
        <v>1009</v>
      </c>
      <c r="C372">
        <v>2014</v>
      </c>
      <c r="D372">
        <v>3020</v>
      </c>
      <c r="E372">
        <v>2</v>
      </c>
      <c r="F372">
        <v>1</v>
      </c>
      <c r="G372" s="4">
        <v>45592</v>
      </c>
      <c r="H372" s="5">
        <v>27416.54</v>
      </c>
    </row>
    <row r="373" spans="1:8" x14ac:dyDescent="0.3">
      <c r="A373">
        <v>4372</v>
      </c>
      <c r="B373">
        <v>1216</v>
      </c>
      <c r="C373">
        <v>2001</v>
      </c>
      <c r="D373">
        <v>3013</v>
      </c>
      <c r="E373">
        <v>2</v>
      </c>
      <c r="F373">
        <v>17</v>
      </c>
      <c r="G373" s="4">
        <v>45613</v>
      </c>
      <c r="H373" s="5">
        <v>11944.99</v>
      </c>
    </row>
    <row r="374" spans="1:8" x14ac:dyDescent="0.3">
      <c r="A374">
        <v>4373</v>
      </c>
      <c r="B374">
        <v>1058</v>
      </c>
      <c r="C374">
        <v>2022</v>
      </c>
      <c r="D374">
        <v>3032</v>
      </c>
      <c r="E374">
        <v>5</v>
      </c>
      <c r="F374">
        <v>18</v>
      </c>
      <c r="G374" s="4">
        <v>45580</v>
      </c>
      <c r="H374" s="5">
        <v>69916.47</v>
      </c>
    </row>
    <row r="375" spans="1:8" x14ac:dyDescent="0.3">
      <c r="A375">
        <v>4374</v>
      </c>
      <c r="B375">
        <v>1261</v>
      </c>
      <c r="C375">
        <v>2001</v>
      </c>
      <c r="D375">
        <v>3007</v>
      </c>
      <c r="E375">
        <v>1</v>
      </c>
      <c r="F375">
        <v>18</v>
      </c>
      <c r="G375" s="4">
        <v>45589</v>
      </c>
      <c r="H375" s="5">
        <v>5912.5</v>
      </c>
    </row>
    <row r="376" spans="1:8" x14ac:dyDescent="0.3">
      <c r="A376">
        <v>4375</v>
      </c>
      <c r="B376">
        <v>1198</v>
      </c>
      <c r="C376">
        <v>2021</v>
      </c>
      <c r="D376">
        <v>3021</v>
      </c>
      <c r="E376">
        <v>2</v>
      </c>
      <c r="F376">
        <v>3</v>
      </c>
      <c r="G376" s="4">
        <v>45588</v>
      </c>
      <c r="H376" s="5">
        <v>34246.980000000003</v>
      </c>
    </row>
    <row r="377" spans="1:8" x14ac:dyDescent="0.3">
      <c r="A377">
        <v>4376</v>
      </c>
      <c r="B377">
        <v>1208</v>
      </c>
      <c r="C377">
        <v>2024</v>
      </c>
      <c r="D377">
        <v>3001</v>
      </c>
      <c r="E377">
        <v>3</v>
      </c>
      <c r="F377">
        <v>13</v>
      </c>
      <c r="G377" s="4">
        <v>45597</v>
      </c>
      <c r="H377" s="5">
        <v>42313.71</v>
      </c>
    </row>
    <row r="378" spans="1:8" x14ac:dyDescent="0.3">
      <c r="A378">
        <v>4377</v>
      </c>
      <c r="B378">
        <v>1149</v>
      </c>
      <c r="C378">
        <v>2011</v>
      </c>
      <c r="D378">
        <v>3033</v>
      </c>
      <c r="E378">
        <v>4</v>
      </c>
      <c r="F378">
        <v>22</v>
      </c>
      <c r="G378" s="4">
        <v>45603</v>
      </c>
      <c r="H378" s="5">
        <v>23271.89</v>
      </c>
    </row>
    <row r="379" spans="1:8" x14ac:dyDescent="0.3">
      <c r="A379">
        <v>4378</v>
      </c>
      <c r="B379">
        <v>1093</v>
      </c>
      <c r="C379">
        <v>2012</v>
      </c>
      <c r="D379">
        <v>3009</v>
      </c>
      <c r="E379">
        <v>4</v>
      </c>
      <c r="F379">
        <v>10</v>
      </c>
      <c r="G379" s="4">
        <v>45592</v>
      </c>
      <c r="H379" s="5">
        <v>42711.71</v>
      </c>
    </row>
    <row r="380" spans="1:8" x14ac:dyDescent="0.3">
      <c r="A380">
        <v>4379</v>
      </c>
      <c r="B380">
        <v>1184</v>
      </c>
      <c r="C380">
        <v>2014</v>
      </c>
      <c r="D380">
        <v>3026</v>
      </c>
      <c r="E380">
        <v>1</v>
      </c>
      <c r="F380">
        <v>30</v>
      </c>
      <c r="G380" s="4">
        <v>45575</v>
      </c>
      <c r="H380" s="5">
        <v>9730.01</v>
      </c>
    </row>
    <row r="381" spans="1:8" x14ac:dyDescent="0.3">
      <c r="A381">
        <v>4380</v>
      </c>
      <c r="B381">
        <v>1174</v>
      </c>
      <c r="C381">
        <v>2003</v>
      </c>
      <c r="D381">
        <v>3003</v>
      </c>
      <c r="E381">
        <v>4</v>
      </c>
      <c r="F381">
        <v>8</v>
      </c>
      <c r="G381" s="4">
        <v>45604</v>
      </c>
      <c r="H381" s="5">
        <v>48875.18</v>
      </c>
    </row>
    <row r="382" spans="1:8" x14ac:dyDescent="0.3">
      <c r="A382">
        <v>4381</v>
      </c>
      <c r="B382">
        <v>1083</v>
      </c>
      <c r="C382">
        <v>2001</v>
      </c>
      <c r="D382">
        <v>3004</v>
      </c>
      <c r="E382">
        <v>4</v>
      </c>
      <c r="F382">
        <v>1</v>
      </c>
      <c r="G382" s="4">
        <v>45586</v>
      </c>
      <c r="H382" s="5">
        <v>28530.36</v>
      </c>
    </row>
    <row r="383" spans="1:8" x14ac:dyDescent="0.3">
      <c r="A383">
        <v>4382</v>
      </c>
      <c r="B383">
        <v>1131</v>
      </c>
      <c r="C383">
        <v>2019</v>
      </c>
      <c r="D383">
        <v>3003</v>
      </c>
      <c r="E383">
        <v>1</v>
      </c>
      <c r="F383">
        <v>13</v>
      </c>
      <c r="G383" s="4">
        <v>45607</v>
      </c>
      <c r="H383" s="5">
        <v>11853.49</v>
      </c>
    </row>
    <row r="384" spans="1:8" x14ac:dyDescent="0.3">
      <c r="A384">
        <v>4383</v>
      </c>
      <c r="B384">
        <v>1166</v>
      </c>
      <c r="C384">
        <v>2005</v>
      </c>
      <c r="D384">
        <v>3007</v>
      </c>
      <c r="E384">
        <v>1</v>
      </c>
      <c r="F384">
        <v>26</v>
      </c>
      <c r="G384" s="4">
        <v>45581</v>
      </c>
      <c r="H384" s="5">
        <v>2837.31</v>
      </c>
    </row>
    <row r="385" spans="1:8" x14ac:dyDescent="0.3">
      <c r="A385">
        <v>4384</v>
      </c>
      <c r="B385">
        <v>1087</v>
      </c>
      <c r="C385">
        <v>2025</v>
      </c>
      <c r="D385">
        <v>3002</v>
      </c>
      <c r="E385">
        <v>1</v>
      </c>
      <c r="F385">
        <v>5</v>
      </c>
      <c r="G385" s="4">
        <v>45594</v>
      </c>
      <c r="H385" s="5">
        <v>16132.31</v>
      </c>
    </row>
    <row r="386" spans="1:8" x14ac:dyDescent="0.3">
      <c r="A386">
        <v>4385</v>
      </c>
      <c r="B386">
        <v>1067</v>
      </c>
      <c r="C386">
        <v>2008</v>
      </c>
      <c r="D386">
        <v>3025</v>
      </c>
      <c r="E386">
        <v>5</v>
      </c>
      <c r="F386">
        <v>20</v>
      </c>
      <c r="G386" s="4">
        <v>45595</v>
      </c>
      <c r="H386" s="5">
        <v>8561.09</v>
      </c>
    </row>
    <row r="387" spans="1:8" x14ac:dyDescent="0.3">
      <c r="A387">
        <v>4386</v>
      </c>
      <c r="B387">
        <v>1286</v>
      </c>
      <c r="C387">
        <v>2011</v>
      </c>
      <c r="D387">
        <v>3006</v>
      </c>
      <c r="E387">
        <v>5</v>
      </c>
      <c r="F387">
        <v>14</v>
      </c>
      <c r="G387" s="4">
        <v>45609</v>
      </c>
      <c r="H387" s="5">
        <v>32239.37</v>
      </c>
    </row>
    <row r="388" spans="1:8" x14ac:dyDescent="0.3">
      <c r="A388">
        <v>4387</v>
      </c>
      <c r="B388">
        <v>1197</v>
      </c>
      <c r="C388">
        <v>2021</v>
      </c>
      <c r="D388">
        <v>3022</v>
      </c>
      <c r="E388">
        <v>5</v>
      </c>
      <c r="F388">
        <v>11</v>
      </c>
      <c r="G388" s="4">
        <v>45616</v>
      </c>
      <c r="H388" s="5">
        <v>78495.11</v>
      </c>
    </row>
    <row r="389" spans="1:8" x14ac:dyDescent="0.3">
      <c r="A389">
        <v>4388</v>
      </c>
      <c r="B389">
        <v>1221</v>
      </c>
      <c r="C389">
        <v>2020</v>
      </c>
      <c r="D389">
        <v>3009</v>
      </c>
      <c r="E389">
        <v>1</v>
      </c>
      <c r="F389">
        <v>7</v>
      </c>
      <c r="G389" s="4">
        <v>45613</v>
      </c>
      <c r="H389" s="5">
        <v>4166.42</v>
      </c>
    </row>
    <row r="390" spans="1:8" x14ac:dyDescent="0.3">
      <c r="A390">
        <v>4389</v>
      </c>
      <c r="B390">
        <v>1196</v>
      </c>
      <c r="C390">
        <v>2001</v>
      </c>
      <c r="D390">
        <v>3029</v>
      </c>
      <c r="E390">
        <v>2</v>
      </c>
      <c r="F390">
        <v>1</v>
      </c>
      <c r="G390" s="4">
        <v>45611</v>
      </c>
      <c r="H390" s="5">
        <v>14367.82</v>
      </c>
    </row>
    <row r="391" spans="1:8" x14ac:dyDescent="0.3">
      <c r="A391">
        <v>4390</v>
      </c>
      <c r="B391">
        <v>1290</v>
      </c>
      <c r="C391">
        <v>2022</v>
      </c>
      <c r="D391">
        <v>3021</v>
      </c>
      <c r="E391">
        <v>4</v>
      </c>
      <c r="F391">
        <v>25</v>
      </c>
      <c r="G391" s="4">
        <v>45593</v>
      </c>
      <c r="H391" s="5">
        <v>51659.65</v>
      </c>
    </row>
    <row r="392" spans="1:8" x14ac:dyDescent="0.3">
      <c r="A392">
        <v>4391</v>
      </c>
      <c r="B392">
        <v>1081</v>
      </c>
      <c r="C392">
        <v>2007</v>
      </c>
      <c r="D392">
        <v>3003</v>
      </c>
      <c r="E392">
        <v>4</v>
      </c>
      <c r="F392">
        <v>20</v>
      </c>
      <c r="G392" s="4">
        <v>45598</v>
      </c>
      <c r="H392" s="5">
        <v>10940.24</v>
      </c>
    </row>
    <row r="393" spans="1:8" x14ac:dyDescent="0.3">
      <c r="A393">
        <v>4392</v>
      </c>
      <c r="B393">
        <v>1110</v>
      </c>
      <c r="C393">
        <v>2021</v>
      </c>
      <c r="D393">
        <v>3011</v>
      </c>
      <c r="E393">
        <v>2</v>
      </c>
      <c r="F393">
        <v>13</v>
      </c>
      <c r="G393" s="4">
        <v>45614</v>
      </c>
      <c r="H393" s="5">
        <v>30546.880000000001</v>
      </c>
    </row>
    <row r="394" spans="1:8" x14ac:dyDescent="0.3">
      <c r="A394">
        <v>4393</v>
      </c>
      <c r="B394">
        <v>1099</v>
      </c>
      <c r="C394">
        <v>2008</v>
      </c>
      <c r="D394">
        <v>3019</v>
      </c>
      <c r="E394">
        <v>5</v>
      </c>
      <c r="F394">
        <v>20</v>
      </c>
      <c r="G394" s="4">
        <v>45589</v>
      </c>
      <c r="H394" s="5">
        <v>8504.48</v>
      </c>
    </row>
    <row r="395" spans="1:8" x14ac:dyDescent="0.3">
      <c r="A395">
        <v>4394</v>
      </c>
      <c r="B395">
        <v>1263</v>
      </c>
      <c r="C395">
        <v>2002</v>
      </c>
      <c r="D395">
        <v>3022</v>
      </c>
      <c r="E395">
        <v>2</v>
      </c>
      <c r="F395">
        <v>19</v>
      </c>
      <c r="G395" s="4">
        <v>45578</v>
      </c>
      <c r="H395" s="5">
        <v>15494.66</v>
      </c>
    </row>
    <row r="396" spans="1:8" x14ac:dyDescent="0.3">
      <c r="A396">
        <v>4395</v>
      </c>
      <c r="B396">
        <v>1019</v>
      </c>
      <c r="C396">
        <v>2009</v>
      </c>
      <c r="D396">
        <v>3022</v>
      </c>
      <c r="E396">
        <v>4</v>
      </c>
      <c r="F396">
        <v>18</v>
      </c>
      <c r="G396" s="4">
        <v>45597</v>
      </c>
      <c r="H396" s="5">
        <v>36172.300000000003</v>
      </c>
    </row>
    <row r="397" spans="1:8" x14ac:dyDescent="0.3">
      <c r="A397">
        <v>4396</v>
      </c>
      <c r="B397">
        <v>1151</v>
      </c>
      <c r="C397">
        <v>2012</v>
      </c>
      <c r="D397">
        <v>3033</v>
      </c>
      <c r="E397">
        <v>2</v>
      </c>
      <c r="F397">
        <v>24</v>
      </c>
      <c r="G397" s="4">
        <v>45579</v>
      </c>
      <c r="H397" s="5">
        <v>18101.919999999998</v>
      </c>
    </row>
    <row r="398" spans="1:8" x14ac:dyDescent="0.3">
      <c r="A398">
        <v>4397</v>
      </c>
      <c r="B398">
        <v>1255</v>
      </c>
      <c r="C398">
        <v>2023</v>
      </c>
      <c r="D398">
        <v>3022</v>
      </c>
      <c r="E398">
        <v>4</v>
      </c>
      <c r="F398">
        <v>5</v>
      </c>
      <c r="G398" s="4">
        <v>45587</v>
      </c>
      <c r="H398" s="5">
        <v>18249.8</v>
      </c>
    </row>
    <row r="399" spans="1:8" x14ac:dyDescent="0.3">
      <c r="A399">
        <v>4398</v>
      </c>
      <c r="B399">
        <v>1214</v>
      </c>
      <c r="C399">
        <v>2003</v>
      </c>
      <c r="D399">
        <v>3018</v>
      </c>
      <c r="E399">
        <v>3</v>
      </c>
      <c r="F399">
        <v>6</v>
      </c>
      <c r="G399" s="4">
        <v>45600</v>
      </c>
      <c r="H399" s="5">
        <v>37331.68</v>
      </c>
    </row>
    <row r="400" spans="1:8" x14ac:dyDescent="0.3">
      <c r="A400">
        <v>4399</v>
      </c>
      <c r="B400">
        <v>1242</v>
      </c>
      <c r="C400">
        <v>2015</v>
      </c>
      <c r="D400">
        <v>3028</v>
      </c>
      <c r="E400">
        <v>2</v>
      </c>
      <c r="F400">
        <v>30</v>
      </c>
      <c r="G400" s="4">
        <v>45592</v>
      </c>
      <c r="H400" s="5">
        <v>24673.77</v>
      </c>
    </row>
    <row r="401" spans="1:8" x14ac:dyDescent="0.3">
      <c r="A401">
        <v>4400</v>
      </c>
      <c r="B401">
        <v>1203</v>
      </c>
      <c r="C401">
        <v>2002</v>
      </c>
      <c r="D401">
        <v>3007</v>
      </c>
      <c r="E401">
        <v>3</v>
      </c>
      <c r="F401">
        <v>6</v>
      </c>
      <c r="G401" s="4">
        <v>45604</v>
      </c>
      <c r="H401" s="5">
        <v>26860.14</v>
      </c>
    </row>
    <row r="402" spans="1:8" x14ac:dyDescent="0.3">
      <c r="A402">
        <v>4401</v>
      </c>
      <c r="B402">
        <v>1082</v>
      </c>
      <c r="C402">
        <v>2006</v>
      </c>
      <c r="D402">
        <v>3017</v>
      </c>
      <c r="E402">
        <v>5</v>
      </c>
      <c r="F402">
        <v>12</v>
      </c>
      <c r="G402" s="4">
        <v>45613</v>
      </c>
      <c r="H402" s="5">
        <v>52967.519999999997</v>
      </c>
    </row>
    <row r="403" spans="1:8" x14ac:dyDescent="0.3">
      <c r="A403">
        <v>4402</v>
      </c>
      <c r="B403">
        <v>1113</v>
      </c>
      <c r="C403">
        <v>2023</v>
      </c>
      <c r="D403">
        <v>3019</v>
      </c>
      <c r="E403">
        <v>5</v>
      </c>
      <c r="F403">
        <v>5</v>
      </c>
      <c r="G403" s="4">
        <v>45595</v>
      </c>
      <c r="H403" s="5">
        <v>22879.360000000001</v>
      </c>
    </row>
    <row r="404" spans="1:8" x14ac:dyDescent="0.3">
      <c r="A404">
        <v>4403</v>
      </c>
      <c r="B404">
        <v>1215</v>
      </c>
      <c r="C404">
        <v>2020</v>
      </c>
      <c r="D404">
        <v>3015</v>
      </c>
      <c r="E404">
        <v>3</v>
      </c>
      <c r="F404">
        <v>1</v>
      </c>
      <c r="G404" s="4">
        <v>45578</v>
      </c>
      <c r="H404" s="5">
        <v>13338.01</v>
      </c>
    </row>
    <row r="405" spans="1:8" x14ac:dyDescent="0.3">
      <c r="A405">
        <v>4404</v>
      </c>
      <c r="B405">
        <v>1198</v>
      </c>
      <c r="C405">
        <v>2006</v>
      </c>
      <c r="D405">
        <v>3002</v>
      </c>
      <c r="E405">
        <v>1</v>
      </c>
      <c r="F405">
        <v>21</v>
      </c>
      <c r="G405" s="4">
        <v>45579</v>
      </c>
      <c r="H405" s="5">
        <v>9515.34</v>
      </c>
    </row>
    <row r="406" spans="1:8" x14ac:dyDescent="0.3">
      <c r="A406">
        <v>4405</v>
      </c>
      <c r="B406">
        <v>1009</v>
      </c>
      <c r="C406">
        <v>2024</v>
      </c>
      <c r="D406">
        <v>3009</v>
      </c>
      <c r="E406">
        <v>5</v>
      </c>
      <c r="F406">
        <v>0</v>
      </c>
      <c r="G406" s="4">
        <v>45610</v>
      </c>
      <c r="H406" s="5">
        <v>81075.240000000005</v>
      </c>
    </row>
    <row r="407" spans="1:8" x14ac:dyDescent="0.3">
      <c r="A407">
        <v>4406</v>
      </c>
      <c r="B407">
        <v>1202</v>
      </c>
      <c r="C407">
        <v>2010</v>
      </c>
      <c r="D407">
        <v>3015</v>
      </c>
      <c r="E407">
        <v>1</v>
      </c>
      <c r="F407">
        <v>18</v>
      </c>
      <c r="G407" s="4">
        <v>45592</v>
      </c>
      <c r="H407" s="5">
        <v>14692.54</v>
      </c>
    </row>
    <row r="408" spans="1:8" x14ac:dyDescent="0.3">
      <c r="A408">
        <v>4407</v>
      </c>
      <c r="B408">
        <v>1183</v>
      </c>
      <c r="C408">
        <v>2014</v>
      </c>
      <c r="D408">
        <v>3033</v>
      </c>
      <c r="E408">
        <v>5</v>
      </c>
      <c r="F408">
        <v>4</v>
      </c>
      <c r="G408" s="4">
        <v>45600</v>
      </c>
      <c r="H408" s="5">
        <v>66578.48</v>
      </c>
    </row>
    <row r="409" spans="1:8" x14ac:dyDescent="0.3">
      <c r="A409">
        <v>4408</v>
      </c>
      <c r="B409">
        <v>1060</v>
      </c>
      <c r="C409">
        <v>2024</v>
      </c>
      <c r="D409">
        <v>3021</v>
      </c>
      <c r="E409">
        <v>2</v>
      </c>
      <c r="F409">
        <v>27</v>
      </c>
      <c r="G409" s="4">
        <v>45596</v>
      </c>
      <c r="H409" s="5">
        <v>23672.51</v>
      </c>
    </row>
    <row r="410" spans="1:8" x14ac:dyDescent="0.3">
      <c r="A410">
        <v>4409</v>
      </c>
      <c r="B410">
        <v>1039</v>
      </c>
      <c r="C410">
        <v>2007</v>
      </c>
      <c r="D410">
        <v>3018</v>
      </c>
      <c r="E410">
        <v>5</v>
      </c>
      <c r="F410">
        <v>6</v>
      </c>
      <c r="G410" s="4">
        <v>45587</v>
      </c>
      <c r="H410" s="5">
        <v>16031.28</v>
      </c>
    </row>
    <row r="411" spans="1:8" x14ac:dyDescent="0.3">
      <c r="A411">
        <v>4410</v>
      </c>
      <c r="B411">
        <v>1034</v>
      </c>
      <c r="C411">
        <v>2006</v>
      </c>
      <c r="D411">
        <v>3001</v>
      </c>
      <c r="E411">
        <v>5</v>
      </c>
      <c r="F411">
        <v>22</v>
      </c>
      <c r="G411" s="4">
        <v>45594</v>
      </c>
      <c r="H411" s="5">
        <v>46937.52</v>
      </c>
    </row>
    <row r="412" spans="1:8" x14ac:dyDescent="0.3">
      <c r="A412">
        <v>4411</v>
      </c>
      <c r="B412">
        <v>1209</v>
      </c>
      <c r="C412">
        <v>2017</v>
      </c>
      <c r="D412">
        <v>3017</v>
      </c>
      <c r="E412">
        <v>2</v>
      </c>
      <c r="F412">
        <v>30</v>
      </c>
      <c r="G412" s="4">
        <v>45592</v>
      </c>
      <c r="H412" s="5">
        <v>11530.8</v>
      </c>
    </row>
    <row r="413" spans="1:8" x14ac:dyDescent="0.3">
      <c r="A413">
        <v>4412</v>
      </c>
      <c r="B413">
        <v>1292</v>
      </c>
      <c r="C413">
        <v>2012</v>
      </c>
      <c r="D413">
        <v>3001</v>
      </c>
      <c r="E413">
        <v>2</v>
      </c>
      <c r="F413">
        <v>2</v>
      </c>
      <c r="G413" s="4">
        <v>45584</v>
      </c>
      <c r="H413" s="5">
        <v>23271.19</v>
      </c>
    </row>
    <row r="414" spans="1:8" x14ac:dyDescent="0.3">
      <c r="A414">
        <v>4413</v>
      </c>
      <c r="B414">
        <v>1236</v>
      </c>
      <c r="C414">
        <v>2022</v>
      </c>
      <c r="D414">
        <v>3009</v>
      </c>
      <c r="E414">
        <v>1</v>
      </c>
      <c r="F414">
        <v>22</v>
      </c>
      <c r="G414" s="4">
        <v>45577</v>
      </c>
      <c r="H414" s="5">
        <v>13453.39</v>
      </c>
    </row>
    <row r="415" spans="1:8" x14ac:dyDescent="0.3">
      <c r="A415">
        <v>4414</v>
      </c>
      <c r="B415">
        <v>1188</v>
      </c>
      <c r="C415">
        <v>2024</v>
      </c>
      <c r="D415">
        <v>3004</v>
      </c>
      <c r="E415">
        <v>3</v>
      </c>
      <c r="F415">
        <v>28</v>
      </c>
      <c r="G415" s="4">
        <v>45582</v>
      </c>
      <c r="H415" s="5">
        <v>35367.19</v>
      </c>
    </row>
    <row r="416" spans="1:8" x14ac:dyDescent="0.3">
      <c r="A416">
        <v>4415</v>
      </c>
      <c r="B416">
        <v>1215</v>
      </c>
      <c r="C416">
        <v>2025</v>
      </c>
      <c r="D416">
        <v>3004</v>
      </c>
      <c r="E416">
        <v>2</v>
      </c>
      <c r="F416">
        <v>25</v>
      </c>
      <c r="G416" s="4">
        <v>45613</v>
      </c>
      <c r="H416" s="5">
        <v>25654.44</v>
      </c>
    </row>
    <row r="417" spans="1:8" x14ac:dyDescent="0.3">
      <c r="A417">
        <v>4416</v>
      </c>
      <c r="B417">
        <v>1150</v>
      </c>
      <c r="C417">
        <v>2023</v>
      </c>
      <c r="D417">
        <v>3013</v>
      </c>
      <c r="E417">
        <v>2</v>
      </c>
      <c r="F417">
        <v>1</v>
      </c>
      <c r="G417" s="4">
        <v>45580</v>
      </c>
      <c r="H417" s="5">
        <v>9466.23</v>
      </c>
    </row>
    <row r="418" spans="1:8" x14ac:dyDescent="0.3">
      <c r="A418">
        <v>4417</v>
      </c>
      <c r="B418">
        <v>1009</v>
      </c>
      <c r="C418">
        <v>2004</v>
      </c>
      <c r="D418">
        <v>3020</v>
      </c>
      <c r="E418">
        <v>4</v>
      </c>
      <c r="F418">
        <v>12</v>
      </c>
      <c r="G418" s="4">
        <v>45596</v>
      </c>
      <c r="H418" s="5">
        <v>17518.2</v>
      </c>
    </row>
    <row r="419" spans="1:8" x14ac:dyDescent="0.3">
      <c r="A419">
        <v>4418</v>
      </c>
      <c r="B419">
        <v>1069</v>
      </c>
      <c r="C419">
        <v>2011</v>
      </c>
      <c r="D419">
        <v>3031</v>
      </c>
      <c r="E419">
        <v>1</v>
      </c>
      <c r="F419">
        <v>18</v>
      </c>
      <c r="G419" s="4">
        <v>45587</v>
      </c>
      <c r="H419" s="5">
        <v>6138.16</v>
      </c>
    </row>
    <row r="420" spans="1:8" x14ac:dyDescent="0.3">
      <c r="A420">
        <v>4419</v>
      </c>
      <c r="B420">
        <v>1062</v>
      </c>
      <c r="C420">
        <v>2023</v>
      </c>
      <c r="D420">
        <v>3027</v>
      </c>
      <c r="E420">
        <v>5</v>
      </c>
      <c r="F420">
        <v>7</v>
      </c>
      <c r="G420" s="4">
        <v>45602</v>
      </c>
      <c r="H420" s="5">
        <v>22248.95</v>
      </c>
    </row>
    <row r="421" spans="1:8" x14ac:dyDescent="0.3">
      <c r="A421">
        <v>4420</v>
      </c>
      <c r="B421">
        <v>1159</v>
      </c>
      <c r="C421">
        <v>2001</v>
      </c>
      <c r="D421">
        <v>3034</v>
      </c>
      <c r="E421">
        <v>2</v>
      </c>
      <c r="F421">
        <v>25</v>
      </c>
      <c r="G421" s="4">
        <v>45575</v>
      </c>
      <c r="H421" s="5">
        <v>10882.48</v>
      </c>
    </row>
    <row r="422" spans="1:8" x14ac:dyDescent="0.3">
      <c r="A422">
        <v>4421</v>
      </c>
      <c r="B422">
        <v>1220</v>
      </c>
      <c r="C422">
        <v>2024</v>
      </c>
      <c r="D422">
        <v>3033</v>
      </c>
      <c r="E422">
        <v>1</v>
      </c>
      <c r="F422">
        <v>25</v>
      </c>
      <c r="G422" s="4">
        <v>45615</v>
      </c>
      <c r="H422" s="5">
        <v>12231.66</v>
      </c>
    </row>
    <row r="423" spans="1:8" x14ac:dyDescent="0.3">
      <c r="A423">
        <v>4422</v>
      </c>
      <c r="B423">
        <v>1276</v>
      </c>
      <c r="C423">
        <v>2025</v>
      </c>
      <c r="D423">
        <v>3020</v>
      </c>
      <c r="E423">
        <v>4</v>
      </c>
      <c r="F423">
        <v>17</v>
      </c>
      <c r="G423" s="4">
        <v>45603</v>
      </c>
      <c r="H423" s="5">
        <v>56496.27</v>
      </c>
    </row>
    <row r="424" spans="1:8" x14ac:dyDescent="0.3">
      <c r="A424">
        <v>4423</v>
      </c>
      <c r="B424">
        <v>1004</v>
      </c>
      <c r="C424">
        <v>2015</v>
      </c>
      <c r="D424">
        <v>3024</v>
      </c>
      <c r="E424">
        <v>5</v>
      </c>
      <c r="F424">
        <v>6</v>
      </c>
      <c r="G424" s="4">
        <v>45596</v>
      </c>
      <c r="H424" s="5">
        <v>82941.25</v>
      </c>
    </row>
    <row r="425" spans="1:8" x14ac:dyDescent="0.3">
      <c r="A425">
        <v>4424</v>
      </c>
      <c r="B425">
        <v>1263</v>
      </c>
      <c r="C425">
        <v>2013</v>
      </c>
      <c r="D425">
        <v>3003</v>
      </c>
      <c r="E425">
        <v>4</v>
      </c>
      <c r="F425">
        <v>5</v>
      </c>
      <c r="G425" s="4">
        <v>45586</v>
      </c>
      <c r="H425" s="5">
        <v>44849.91</v>
      </c>
    </row>
    <row r="426" spans="1:8" x14ac:dyDescent="0.3">
      <c r="A426">
        <v>4425</v>
      </c>
      <c r="B426">
        <v>1168</v>
      </c>
      <c r="C426">
        <v>2022</v>
      </c>
      <c r="D426">
        <v>3016</v>
      </c>
      <c r="E426">
        <v>5</v>
      </c>
      <c r="F426">
        <v>28</v>
      </c>
      <c r="G426" s="4">
        <v>45595</v>
      </c>
      <c r="H426" s="5">
        <v>61350.55</v>
      </c>
    </row>
    <row r="427" spans="1:8" x14ac:dyDescent="0.3">
      <c r="A427">
        <v>4426</v>
      </c>
      <c r="B427">
        <v>1090</v>
      </c>
      <c r="C427">
        <v>2005</v>
      </c>
      <c r="D427">
        <v>3034</v>
      </c>
      <c r="E427">
        <v>3</v>
      </c>
      <c r="F427">
        <v>15</v>
      </c>
      <c r="G427" s="4">
        <v>45585</v>
      </c>
      <c r="H427" s="5">
        <v>9802.74</v>
      </c>
    </row>
    <row r="428" spans="1:8" x14ac:dyDescent="0.3">
      <c r="A428">
        <v>4427</v>
      </c>
      <c r="B428">
        <v>1001</v>
      </c>
      <c r="C428">
        <v>2017</v>
      </c>
      <c r="D428">
        <v>3020</v>
      </c>
      <c r="E428">
        <v>4</v>
      </c>
      <c r="F428">
        <v>4</v>
      </c>
      <c r="G428" s="4">
        <v>45596</v>
      </c>
      <c r="H428" s="5">
        <v>31597.96</v>
      </c>
    </row>
    <row r="429" spans="1:8" x14ac:dyDescent="0.3">
      <c r="A429">
        <v>4428</v>
      </c>
      <c r="B429">
        <v>1246</v>
      </c>
      <c r="C429">
        <v>2003</v>
      </c>
      <c r="D429">
        <v>3019</v>
      </c>
      <c r="E429">
        <v>2</v>
      </c>
      <c r="F429">
        <v>0</v>
      </c>
      <c r="G429" s="4">
        <v>45596</v>
      </c>
      <c r="H429" s="5">
        <v>26444.93</v>
      </c>
    </row>
    <row r="430" spans="1:8" x14ac:dyDescent="0.3">
      <c r="A430">
        <v>4429</v>
      </c>
      <c r="B430">
        <v>1144</v>
      </c>
      <c r="C430">
        <v>2003</v>
      </c>
      <c r="D430">
        <v>3006</v>
      </c>
      <c r="E430">
        <v>2</v>
      </c>
      <c r="F430">
        <v>21</v>
      </c>
      <c r="G430" s="4">
        <v>45579</v>
      </c>
      <c r="H430" s="5">
        <v>21000.23</v>
      </c>
    </row>
    <row r="431" spans="1:8" x14ac:dyDescent="0.3">
      <c r="A431">
        <v>4430</v>
      </c>
      <c r="B431">
        <v>1068</v>
      </c>
      <c r="C431">
        <v>2001</v>
      </c>
      <c r="D431">
        <v>3004</v>
      </c>
      <c r="E431">
        <v>1</v>
      </c>
      <c r="F431">
        <v>21</v>
      </c>
      <c r="G431" s="4">
        <v>45595</v>
      </c>
      <c r="H431" s="5">
        <v>5675.43</v>
      </c>
    </row>
    <row r="432" spans="1:8" x14ac:dyDescent="0.3">
      <c r="A432">
        <v>4431</v>
      </c>
      <c r="B432">
        <v>1077</v>
      </c>
      <c r="C432">
        <v>2014</v>
      </c>
      <c r="D432">
        <v>3017</v>
      </c>
      <c r="E432">
        <v>5</v>
      </c>
      <c r="F432">
        <v>15</v>
      </c>
      <c r="G432" s="4">
        <v>45584</v>
      </c>
      <c r="H432" s="5">
        <v>59058.77</v>
      </c>
    </row>
    <row r="433" spans="1:8" x14ac:dyDescent="0.3">
      <c r="A433">
        <v>4432</v>
      </c>
      <c r="B433">
        <v>1123</v>
      </c>
      <c r="C433">
        <v>2025</v>
      </c>
      <c r="D433">
        <v>3010</v>
      </c>
      <c r="E433">
        <v>4</v>
      </c>
      <c r="F433">
        <v>18</v>
      </c>
      <c r="G433" s="4">
        <v>45599</v>
      </c>
      <c r="H433" s="5">
        <v>55713.4</v>
      </c>
    </row>
    <row r="434" spans="1:8" x14ac:dyDescent="0.3">
      <c r="A434">
        <v>4433</v>
      </c>
      <c r="B434">
        <v>1269</v>
      </c>
      <c r="C434">
        <v>2019</v>
      </c>
      <c r="D434">
        <v>3026</v>
      </c>
      <c r="E434">
        <v>4</v>
      </c>
      <c r="F434">
        <v>2</v>
      </c>
      <c r="G434" s="4">
        <v>45599</v>
      </c>
      <c r="H434" s="5">
        <v>53303.23</v>
      </c>
    </row>
    <row r="435" spans="1:8" x14ac:dyDescent="0.3">
      <c r="A435">
        <v>4434</v>
      </c>
      <c r="B435">
        <v>1182</v>
      </c>
      <c r="C435">
        <v>2010</v>
      </c>
      <c r="D435">
        <v>3019</v>
      </c>
      <c r="E435">
        <v>3</v>
      </c>
      <c r="F435">
        <v>3</v>
      </c>
      <c r="G435" s="4">
        <v>45581</v>
      </c>
      <c r="H435" s="5">
        <v>52313.98</v>
      </c>
    </row>
    <row r="436" spans="1:8" x14ac:dyDescent="0.3">
      <c r="A436">
        <v>4435</v>
      </c>
      <c r="B436">
        <v>1231</v>
      </c>
      <c r="C436">
        <v>2009</v>
      </c>
      <c r="D436">
        <v>3017</v>
      </c>
      <c r="E436">
        <v>3</v>
      </c>
      <c r="F436">
        <v>21</v>
      </c>
      <c r="G436" s="4">
        <v>45600</v>
      </c>
      <c r="H436" s="5">
        <v>26300.7</v>
      </c>
    </row>
    <row r="437" spans="1:8" x14ac:dyDescent="0.3">
      <c r="A437">
        <v>4436</v>
      </c>
      <c r="B437">
        <v>1038</v>
      </c>
      <c r="C437">
        <v>2009</v>
      </c>
      <c r="D437">
        <v>3019</v>
      </c>
      <c r="E437">
        <v>3</v>
      </c>
      <c r="F437">
        <v>12</v>
      </c>
      <c r="G437" s="4">
        <v>45615</v>
      </c>
      <c r="H437" s="5">
        <v>29077.91</v>
      </c>
    </row>
    <row r="438" spans="1:8" x14ac:dyDescent="0.3">
      <c r="A438">
        <v>4437</v>
      </c>
      <c r="B438">
        <v>1208</v>
      </c>
      <c r="C438">
        <v>2017</v>
      </c>
      <c r="D438">
        <v>3034</v>
      </c>
      <c r="E438">
        <v>1</v>
      </c>
      <c r="F438">
        <v>7</v>
      </c>
      <c r="G438" s="4">
        <v>45601</v>
      </c>
      <c r="H438" s="5">
        <v>7653.91</v>
      </c>
    </row>
    <row r="439" spans="1:8" x14ac:dyDescent="0.3">
      <c r="A439">
        <v>4438</v>
      </c>
      <c r="B439">
        <v>1196</v>
      </c>
      <c r="C439">
        <v>2004</v>
      </c>
      <c r="D439">
        <v>3022</v>
      </c>
      <c r="E439">
        <v>2</v>
      </c>
      <c r="F439">
        <v>20</v>
      </c>
      <c r="G439" s="4">
        <v>45588</v>
      </c>
      <c r="H439" s="5">
        <v>7882.59</v>
      </c>
    </row>
    <row r="440" spans="1:8" x14ac:dyDescent="0.3">
      <c r="A440">
        <v>4439</v>
      </c>
      <c r="B440">
        <v>1263</v>
      </c>
      <c r="C440">
        <v>2010</v>
      </c>
      <c r="D440">
        <v>3031</v>
      </c>
      <c r="E440">
        <v>3</v>
      </c>
      <c r="F440">
        <v>28</v>
      </c>
      <c r="G440" s="4">
        <v>45608</v>
      </c>
      <c r="H440" s="5">
        <v>38533</v>
      </c>
    </row>
    <row r="441" spans="1:8" x14ac:dyDescent="0.3">
      <c r="A441">
        <v>4440</v>
      </c>
      <c r="B441">
        <v>1148</v>
      </c>
      <c r="C441">
        <v>2020</v>
      </c>
      <c r="D441">
        <v>3027</v>
      </c>
      <c r="E441">
        <v>5</v>
      </c>
      <c r="F441">
        <v>23</v>
      </c>
      <c r="G441" s="4">
        <v>45614</v>
      </c>
      <c r="H441" s="5">
        <v>17229.34</v>
      </c>
    </row>
    <row r="442" spans="1:8" x14ac:dyDescent="0.3">
      <c r="A442">
        <v>4441</v>
      </c>
      <c r="B442">
        <v>1052</v>
      </c>
      <c r="C442">
        <v>2021</v>
      </c>
      <c r="D442">
        <v>3028</v>
      </c>
      <c r="E442">
        <v>4</v>
      </c>
      <c r="F442">
        <v>3</v>
      </c>
      <c r="G442" s="4">
        <v>45613</v>
      </c>
      <c r="H442" s="5">
        <v>68205.539999999994</v>
      </c>
    </row>
    <row r="443" spans="1:8" x14ac:dyDescent="0.3">
      <c r="A443">
        <v>4442</v>
      </c>
      <c r="B443">
        <v>1212</v>
      </c>
      <c r="C443">
        <v>2002</v>
      </c>
      <c r="D443">
        <v>3002</v>
      </c>
      <c r="E443">
        <v>4</v>
      </c>
      <c r="F443">
        <v>13</v>
      </c>
      <c r="G443" s="4">
        <v>45582</v>
      </c>
      <c r="H443" s="5">
        <v>33151.620000000003</v>
      </c>
    </row>
    <row r="444" spans="1:8" x14ac:dyDescent="0.3">
      <c r="A444">
        <v>4443</v>
      </c>
      <c r="B444">
        <v>1022</v>
      </c>
      <c r="C444">
        <v>2002</v>
      </c>
      <c r="D444">
        <v>3014</v>
      </c>
      <c r="E444">
        <v>2</v>
      </c>
      <c r="F444">
        <v>26</v>
      </c>
      <c r="G444" s="4">
        <v>45612</v>
      </c>
      <c r="H444" s="5">
        <v>14199.94</v>
      </c>
    </row>
    <row r="445" spans="1:8" x14ac:dyDescent="0.3">
      <c r="A445">
        <v>4444</v>
      </c>
      <c r="B445">
        <v>1173</v>
      </c>
      <c r="C445">
        <v>2004</v>
      </c>
      <c r="D445">
        <v>3009</v>
      </c>
      <c r="E445">
        <v>5</v>
      </c>
      <c r="F445">
        <v>17</v>
      </c>
      <c r="G445" s="4">
        <v>45578</v>
      </c>
      <c r="H445" s="5">
        <v>20548.32</v>
      </c>
    </row>
    <row r="446" spans="1:8" x14ac:dyDescent="0.3">
      <c r="A446">
        <v>4445</v>
      </c>
      <c r="B446">
        <v>1115</v>
      </c>
      <c r="C446">
        <v>2009</v>
      </c>
      <c r="D446">
        <v>3004</v>
      </c>
      <c r="E446">
        <v>1</v>
      </c>
      <c r="F446">
        <v>7</v>
      </c>
      <c r="G446" s="4">
        <v>45615</v>
      </c>
      <c r="H446" s="5">
        <v>10226.209999999999</v>
      </c>
    </row>
    <row r="447" spans="1:8" x14ac:dyDescent="0.3">
      <c r="A447">
        <v>4446</v>
      </c>
      <c r="B447">
        <v>1163</v>
      </c>
      <c r="C447">
        <v>2009</v>
      </c>
      <c r="D447">
        <v>3033</v>
      </c>
      <c r="E447">
        <v>4</v>
      </c>
      <c r="F447">
        <v>8</v>
      </c>
      <c r="G447" s="4">
        <v>45597</v>
      </c>
      <c r="H447" s="5">
        <v>40683.89</v>
      </c>
    </row>
    <row r="448" spans="1:8" x14ac:dyDescent="0.3">
      <c r="A448">
        <v>4447</v>
      </c>
      <c r="B448">
        <v>1244</v>
      </c>
      <c r="C448">
        <v>2015</v>
      </c>
      <c r="D448">
        <v>3029</v>
      </c>
      <c r="E448">
        <v>2</v>
      </c>
      <c r="F448">
        <v>14</v>
      </c>
      <c r="G448" s="4">
        <v>45593</v>
      </c>
      <c r="H448" s="5">
        <v>30416.19</v>
      </c>
    </row>
    <row r="449" spans="1:8" x14ac:dyDescent="0.3">
      <c r="A449">
        <v>4448</v>
      </c>
      <c r="B449">
        <v>1096</v>
      </c>
      <c r="C449">
        <v>2023</v>
      </c>
      <c r="D449">
        <v>3018</v>
      </c>
      <c r="E449">
        <v>3</v>
      </c>
      <c r="F449">
        <v>1</v>
      </c>
      <c r="G449" s="4">
        <v>45585</v>
      </c>
      <c r="H449" s="5">
        <v>14271.26</v>
      </c>
    </row>
    <row r="450" spans="1:8" x14ac:dyDescent="0.3">
      <c r="A450">
        <v>4449</v>
      </c>
      <c r="B450">
        <v>1294</v>
      </c>
      <c r="C450">
        <v>2001</v>
      </c>
      <c r="D450">
        <v>3032</v>
      </c>
      <c r="E450">
        <v>2</v>
      </c>
      <c r="F450">
        <v>17</v>
      </c>
      <c r="G450" s="4">
        <v>45607</v>
      </c>
      <c r="H450" s="5">
        <v>12054.86</v>
      </c>
    </row>
    <row r="451" spans="1:8" x14ac:dyDescent="0.3">
      <c r="A451">
        <v>4450</v>
      </c>
      <c r="B451">
        <v>1104</v>
      </c>
      <c r="C451">
        <v>2006</v>
      </c>
      <c r="D451">
        <v>3015</v>
      </c>
      <c r="E451">
        <v>4</v>
      </c>
      <c r="F451">
        <v>30</v>
      </c>
      <c r="G451" s="4">
        <v>45579</v>
      </c>
      <c r="H451" s="5">
        <v>33845.18</v>
      </c>
    </row>
    <row r="452" spans="1:8" x14ac:dyDescent="0.3">
      <c r="A452">
        <v>4451</v>
      </c>
      <c r="B452">
        <v>1218</v>
      </c>
      <c r="C452">
        <v>2016</v>
      </c>
      <c r="D452">
        <v>3025</v>
      </c>
      <c r="E452">
        <v>5</v>
      </c>
      <c r="F452">
        <v>25</v>
      </c>
      <c r="G452" s="4">
        <v>45575</v>
      </c>
      <c r="H452" s="5">
        <v>45840.17</v>
      </c>
    </row>
    <row r="453" spans="1:8" x14ac:dyDescent="0.3">
      <c r="A453">
        <v>4452</v>
      </c>
      <c r="B453">
        <v>1043</v>
      </c>
      <c r="C453">
        <v>2002</v>
      </c>
      <c r="D453">
        <v>3007</v>
      </c>
      <c r="E453">
        <v>2</v>
      </c>
      <c r="F453">
        <v>19</v>
      </c>
      <c r="G453" s="4">
        <v>45597</v>
      </c>
      <c r="H453" s="5">
        <v>15469.87</v>
      </c>
    </row>
    <row r="454" spans="1:8" x14ac:dyDescent="0.3">
      <c r="A454">
        <v>4453</v>
      </c>
      <c r="B454">
        <v>1286</v>
      </c>
      <c r="C454">
        <v>2012</v>
      </c>
      <c r="D454">
        <v>3009</v>
      </c>
      <c r="E454">
        <v>2</v>
      </c>
      <c r="F454">
        <v>2</v>
      </c>
      <c r="G454" s="4">
        <v>45609</v>
      </c>
      <c r="H454" s="5">
        <v>23254.57</v>
      </c>
    </row>
    <row r="455" spans="1:8" x14ac:dyDescent="0.3">
      <c r="A455">
        <v>4454</v>
      </c>
      <c r="B455">
        <v>1193</v>
      </c>
      <c r="C455">
        <v>2021</v>
      </c>
      <c r="D455">
        <v>3017</v>
      </c>
      <c r="E455">
        <v>2</v>
      </c>
      <c r="F455">
        <v>5</v>
      </c>
      <c r="G455" s="4">
        <v>45604</v>
      </c>
      <c r="H455" s="5">
        <v>33283.26</v>
      </c>
    </row>
    <row r="456" spans="1:8" x14ac:dyDescent="0.3">
      <c r="A456">
        <v>4455</v>
      </c>
      <c r="B456">
        <v>1227</v>
      </c>
      <c r="C456">
        <v>2011</v>
      </c>
      <c r="D456">
        <v>3016</v>
      </c>
      <c r="E456">
        <v>5</v>
      </c>
      <c r="F456">
        <v>17</v>
      </c>
      <c r="G456" s="4">
        <v>45596</v>
      </c>
      <c r="H456" s="5">
        <v>31124.7</v>
      </c>
    </row>
    <row r="457" spans="1:8" x14ac:dyDescent="0.3">
      <c r="A457">
        <v>4456</v>
      </c>
      <c r="B457">
        <v>1062</v>
      </c>
      <c r="C457">
        <v>2022</v>
      </c>
      <c r="D457">
        <v>3032</v>
      </c>
      <c r="E457">
        <v>5</v>
      </c>
      <c r="F457">
        <v>28</v>
      </c>
      <c r="G457" s="4">
        <v>45578</v>
      </c>
      <c r="H457" s="5">
        <v>61839.29</v>
      </c>
    </row>
    <row r="458" spans="1:8" x14ac:dyDescent="0.3">
      <c r="A458">
        <v>4457</v>
      </c>
      <c r="B458">
        <v>1141</v>
      </c>
      <c r="C458">
        <v>2002</v>
      </c>
      <c r="D458">
        <v>3013</v>
      </c>
      <c r="E458">
        <v>2</v>
      </c>
      <c r="F458">
        <v>26</v>
      </c>
      <c r="G458" s="4">
        <v>45615</v>
      </c>
      <c r="H458" s="5">
        <v>14192.31</v>
      </c>
    </row>
    <row r="459" spans="1:8" x14ac:dyDescent="0.3">
      <c r="A459">
        <v>4458</v>
      </c>
      <c r="B459">
        <v>1188</v>
      </c>
      <c r="C459">
        <v>2021</v>
      </c>
      <c r="D459">
        <v>3015</v>
      </c>
      <c r="E459">
        <v>1</v>
      </c>
      <c r="F459">
        <v>19</v>
      </c>
      <c r="G459" s="4">
        <v>45594</v>
      </c>
      <c r="H459" s="5">
        <v>14179.59</v>
      </c>
    </row>
    <row r="460" spans="1:8" x14ac:dyDescent="0.3">
      <c r="A460">
        <v>4459</v>
      </c>
      <c r="B460">
        <v>1236</v>
      </c>
      <c r="C460">
        <v>2014</v>
      </c>
      <c r="D460">
        <v>3004</v>
      </c>
      <c r="E460">
        <v>1</v>
      </c>
      <c r="F460">
        <v>11</v>
      </c>
      <c r="G460" s="4">
        <v>45612</v>
      </c>
      <c r="H460" s="5">
        <v>12256.85</v>
      </c>
    </row>
    <row r="461" spans="1:8" x14ac:dyDescent="0.3">
      <c r="A461">
        <v>4460</v>
      </c>
      <c r="B461">
        <v>1212</v>
      </c>
      <c r="C461">
        <v>2010</v>
      </c>
      <c r="D461">
        <v>3025</v>
      </c>
      <c r="E461">
        <v>5</v>
      </c>
      <c r="F461">
        <v>6</v>
      </c>
      <c r="G461" s="4">
        <v>45577</v>
      </c>
      <c r="H461" s="5">
        <v>83778.3</v>
      </c>
    </row>
    <row r="462" spans="1:8" x14ac:dyDescent="0.3">
      <c r="A462">
        <v>4461</v>
      </c>
      <c r="B462">
        <v>1158</v>
      </c>
      <c r="C462">
        <v>2022</v>
      </c>
      <c r="D462">
        <v>3029</v>
      </c>
      <c r="E462">
        <v>3</v>
      </c>
      <c r="F462">
        <v>27</v>
      </c>
      <c r="G462" s="4">
        <v>45577</v>
      </c>
      <c r="H462" s="5">
        <v>37546.019999999997</v>
      </c>
    </row>
    <row r="463" spans="1:8" x14ac:dyDescent="0.3">
      <c r="A463">
        <v>4462</v>
      </c>
      <c r="B463">
        <v>1168</v>
      </c>
      <c r="C463">
        <v>2003</v>
      </c>
      <c r="D463">
        <v>3003</v>
      </c>
      <c r="E463">
        <v>3</v>
      </c>
      <c r="F463">
        <v>6</v>
      </c>
      <c r="G463" s="4">
        <v>45595</v>
      </c>
      <c r="H463" s="5">
        <v>37427.01</v>
      </c>
    </row>
    <row r="464" spans="1:8" x14ac:dyDescent="0.3">
      <c r="A464">
        <v>4463</v>
      </c>
      <c r="B464">
        <v>1039</v>
      </c>
      <c r="C464">
        <v>2020</v>
      </c>
      <c r="D464">
        <v>3026</v>
      </c>
      <c r="E464">
        <v>4</v>
      </c>
      <c r="F464">
        <v>1</v>
      </c>
      <c r="G464" s="4">
        <v>45577</v>
      </c>
      <c r="H464" s="5">
        <v>17789.41</v>
      </c>
    </row>
    <row r="465" spans="1:8" x14ac:dyDescent="0.3">
      <c r="A465">
        <v>4464</v>
      </c>
      <c r="B465">
        <v>1251</v>
      </c>
      <c r="C465">
        <v>2004</v>
      </c>
      <c r="D465">
        <v>3011</v>
      </c>
      <c r="E465">
        <v>4</v>
      </c>
      <c r="F465">
        <v>6</v>
      </c>
      <c r="G465" s="4">
        <v>45587</v>
      </c>
      <c r="H465" s="5">
        <v>18671.02</v>
      </c>
    </row>
    <row r="466" spans="1:8" x14ac:dyDescent="0.3">
      <c r="A466">
        <v>4465</v>
      </c>
      <c r="B466">
        <v>1095</v>
      </c>
      <c r="C466">
        <v>2016</v>
      </c>
      <c r="D466">
        <v>3006</v>
      </c>
      <c r="E466">
        <v>1</v>
      </c>
      <c r="F466">
        <v>18</v>
      </c>
      <c r="G466" s="4">
        <v>45611</v>
      </c>
      <c r="H466" s="5">
        <v>10089.86</v>
      </c>
    </row>
    <row r="467" spans="1:8" x14ac:dyDescent="0.3">
      <c r="A467">
        <v>4466</v>
      </c>
      <c r="B467">
        <v>1180</v>
      </c>
      <c r="C467">
        <v>2022</v>
      </c>
      <c r="D467">
        <v>3034</v>
      </c>
      <c r="E467">
        <v>4</v>
      </c>
      <c r="F467">
        <v>1</v>
      </c>
      <c r="G467" s="4">
        <v>45605</v>
      </c>
      <c r="H467" s="5">
        <v>68184.42</v>
      </c>
    </row>
    <row r="468" spans="1:8" x14ac:dyDescent="0.3">
      <c r="A468">
        <v>4467</v>
      </c>
      <c r="B468">
        <v>1173</v>
      </c>
      <c r="C468">
        <v>2002</v>
      </c>
      <c r="D468">
        <v>3003</v>
      </c>
      <c r="E468">
        <v>5</v>
      </c>
      <c r="F468">
        <v>13</v>
      </c>
      <c r="G468" s="4">
        <v>45590</v>
      </c>
      <c r="H468" s="5">
        <v>41315.589999999997</v>
      </c>
    </row>
    <row r="469" spans="1:8" x14ac:dyDescent="0.3">
      <c r="A469">
        <v>4468</v>
      </c>
      <c r="B469">
        <v>1128</v>
      </c>
      <c r="C469">
        <v>2017</v>
      </c>
      <c r="D469">
        <v>3012</v>
      </c>
      <c r="E469">
        <v>3</v>
      </c>
      <c r="F469">
        <v>28</v>
      </c>
      <c r="G469" s="4">
        <v>45613</v>
      </c>
      <c r="H469" s="5">
        <v>17708.77</v>
      </c>
    </row>
    <row r="470" spans="1:8" x14ac:dyDescent="0.3">
      <c r="A470">
        <v>4469</v>
      </c>
      <c r="B470">
        <v>1076</v>
      </c>
      <c r="C470">
        <v>2023</v>
      </c>
      <c r="D470">
        <v>3007</v>
      </c>
      <c r="E470">
        <v>1</v>
      </c>
      <c r="F470">
        <v>10</v>
      </c>
      <c r="G470" s="4">
        <v>45590</v>
      </c>
      <c r="H470" s="5">
        <v>4326.58</v>
      </c>
    </row>
    <row r="471" spans="1:8" x14ac:dyDescent="0.3">
      <c r="A471">
        <v>4470</v>
      </c>
      <c r="B471">
        <v>1176</v>
      </c>
      <c r="C471">
        <v>2019</v>
      </c>
      <c r="D471">
        <v>3008</v>
      </c>
      <c r="E471">
        <v>3</v>
      </c>
      <c r="F471">
        <v>10</v>
      </c>
      <c r="G471" s="4">
        <v>45585</v>
      </c>
      <c r="H471" s="5">
        <v>36827.120000000003</v>
      </c>
    </row>
    <row r="472" spans="1:8" x14ac:dyDescent="0.3">
      <c r="A472">
        <v>4471</v>
      </c>
      <c r="B472">
        <v>1055</v>
      </c>
      <c r="C472">
        <v>2008</v>
      </c>
      <c r="D472">
        <v>3004</v>
      </c>
      <c r="E472">
        <v>2</v>
      </c>
      <c r="F472">
        <v>13</v>
      </c>
      <c r="G472" s="4">
        <v>45602</v>
      </c>
      <c r="H472" s="5">
        <v>3700.83</v>
      </c>
    </row>
    <row r="473" spans="1:8" x14ac:dyDescent="0.3">
      <c r="A473">
        <v>4472</v>
      </c>
      <c r="B473">
        <v>1228</v>
      </c>
      <c r="C473">
        <v>2014</v>
      </c>
      <c r="D473">
        <v>3031</v>
      </c>
      <c r="E473">
        <v>1</v>
      </c>
      <c r="F473">
        <v>16</v>
      </c>
      <c r="G473" s="4">
        <v>45615</v>
      </c>
      <c r="H473" s="5">
        <v>11655.55</v>
      </c>
    </row>
    <row r="474" spans="1:8" x14ac:dyDescent="0.3">
      <c r="A474">
        <v>4473</v>
      </c>
      <c r="B474">
        <v>1283</v>
      </c>
      <c r="C474">
        <v>2013</v>
      </c>
      <c r="D474">
        <v>3015</v>
      </c>
      <c r="E474">
        <v>5</v>
      </c>
      <c r="F474">
        <v>1</v>
      </c>
      <c r="G474" s="4">
        <v>45594</v>
      </c>
      <c r="H474" s="5">
        <v>58543.91</v>
      </c>
    </row>
    <row r="475" spans="1:8" x14ac:dyDescent="0.3">
      <c r="A475">
        <v>4474</v>
      </c>
      <c r="B475">
        <v>1203</v>
      </c>
      <c r="C475">
        <v>2002</v>
      </c>
      <c r="D475">
        <v>3025</v>
      </c>
      <c r="E475">
        <v>1</v>
      </c>
      <c r="F475">
        <v>0</v>
      </c>
      <c r="G475" s="4">
        <v>45601</v>
      </c>
      <c r="H475" s="5">
        <v>9531.14</v>
      </c>
    </row>
    <row r="476" spans="1:8" x14ac:dyDescent="0.3">
      <c r="A476">
        <v>4475</v>
      </c>
      <c r="B476">
        <v>1018</v>
      </c>
      <c r="C476">
        <v>2023</v>
      </c>
      <c r="D476">
        <v>3026</v>
      </c>
      <c r="E476">
        <v>5</v>
      </c>
      <c r="F476">
        <v>21</v>
      </c>
      <c r="G476" s="4">
        <v>45581</v>
      </c>
      <c r="H476" s="5">
        <v>18866.79</v>
      </c>
    </row>
    <row r="477" spans="1:8" x14ac:dyDescent="0.3">
      <c r="A477">
        <v>4476</v>
      </c>
      <c r="B477">
        <v>1130</v>
      </c>
      <c r="C477">
        <v>2018</v>
      </c>
      <c r="D477">
        <v>3015</v>
      </c>
      <c r="E477">
        <v>5</v>
      </c>
      <c r="F477">
        <v>17</v>
      </c>
      <c r="G477" s="4">
        <v>45577</v>
      </c>
      <c r="H477" s="5">
        <v>29899.1</v>
      </c>
    </row>
    <row r="478" spans="1:8" x14ac:dyDescent="0.3">
      <c r="A478">
        <v>4477</v>
      </c>
      <c r="B478">
        <v>1221</v>
      </c>
      <c r="C478">
        <v>2022</v>
      </c>
      <c r="D478">
        <v>3011</v>
      </c>
      <c r="E478">
        <v>3</v>
      </c>
      <c r="F478">
        <v>14</v>
      </c>
      <c r="G478" s="4">
        <v>45585</v>
      </c>
      <c r="H478" s="5">
        <v>44316.45</v>
      </c>
    </row>
    <row r="479" spans="1:8" x14ac:dyDescent="0.3">
      <c r="A479">
        <v>4478</v>
      </c>
      <c r="B479">
        <v>1252</v>
      </c>
      <c r="C479">
        <v>2012</v>
      </c>
      <c r="D479">
        <v>3004</v>
      </c>
      <c r="E479">
        <v>1</v>
      </c>
      <c r="F479">
        <v>21</v>
      </c>
      <c r="G479" s="4">
        <v>45611</v>
      </c>
      <c r="H479" s="5">
        <v>9332.2099999999991</v>
      </c>
    </row>
    <row r="480" spans="1:8" x14ac:dyDescent="0.3">
      <c r="A480">
        <v>4479</v>
      </c>
      <c r="B480">
        <v>1205</v>
      </c>
      <c r="C480">
        <v>2017</v>
      </c>
      <c r="D480">
        <v>3033</v>
      </c>
      <c r="E480">
        <v>5</v>
      </c>
      <c r="F480">
        <v>20</v>
      </c>
      <c r="G480" s="4">
        <v>45579</v>
      </c>
      <c r="H480" s="5">
        <v>32604.84</v>
      </c>
    </row>
    <row r="481" spans="1:8" x14ac:dyDescent="0.3">
      <c r="A481">
        <v>4480</v>
      </c>
      <c r="B481">
        <v>1079</v>
      </c>
      <c r="C481">
        <v>2012</v>
      </c>
      <c r="D481">
        <v>3033</v>
      </c>
      <c r="E481">
        <v>2</v>
      </c>
      <c r="F481">
        <v>19</v>
      </c>
      <c r="G481" s="4">
        <v>45608</v>
      </c>
      <c r="H481" s="5">
        <v>19317.099999999999</v>
      </c>
    </row>
    <row r="482" spans="1:8" x14ac:dyDescent="0.3">
      <c r="A482">
        <v>4481</v>
      </c>
      <c r="B482">
        <v>1197</v>
      </c>
      <c r="C482">
        <v>2024</v>
      </c>
      <c r="D482">
        <v>3016</v>
      </c>
      <c r="E482">
        <v>1</v>
      </c>
      <c r="F482">
        <v>7</v>
      </c>
      <c r="G482" s="4">
        <v>45615</v>
      </c>
      <c r="H482" s="5">
        <v>15196.42</v>
      </c>
    </row>
    <row r="483" spans="1:8" x14ac:dyDescent="0.3">
      <c r="A483">
        <v>4482</v>
      </c>
      <c r="B483">
        <v>1204</v>
      </c>
      <c r="C483">
        <v>2017</v>
      </c>
      <c r="D483">
        <v>3025</v>
      </c>
      <c r="E483">
        <v>4</v>
      </c>
      <c r="F483">
        <v>20</v>
      </c>
      <c r="G483" s="4">
        <v>45580</v>
      </c>
      <c r="H483" s="5">
        <v>26290.16</v>
      </c>
    </row>
    <row r="484" spans="1:8" x14ac:dyDescent="0.3">
      <c r="A484">
        <v>4483</v>
      </c>
      <c r="B484">
        <v>1224</v>
      </c>
      <c r="C484">
        <v>2019</v>
      </c>
      <c r="D484">
        <v>3021</v>
      </c>
      <c r="E484">
        <v>5</v>
      </c>
      <c r="F484">
        <v>11</v>
      </c>
      <c r="G484" s="4">
        <v>45589</v>
      </c>
      <c r="H484" s="5">
        <v>60772.44</v>
      </c>
    </row>
    <row r="485" spans="1:8" x14ac:dyDescent="0.3">
      <c r="A485">
        <v>4484</v>
      </c>
      <c r="B485">
        <v>1208</v>
      </c>
      <c r="C485">
        <v>2006</v>
      </c>
      <c r="D485">
        <v>3028</v>
      </c>
      <c r="E485">
        <v>1</v>
      </c>
      <c r="F485">
        <v>25</v>
      </c>
      <c r="G485" s="4">
        <v>45599</v>
      </c>
      <c r="H485" s="5">
        <v>9025.7000000000007</v>
      </c>
    </row>
    <row r="486" spans="1:8" x14ac:dyDescent="0.3">
      <c r="A486">
        <v>4485</v>
      </c>
      <c r="B486">
        <v>1215</v>
      </c>
      <c r="C486">
        <v>2017</v>
      </c>
      <c r="D486">
        <v>3023</v>
      </c>
      <c r="E486">
        <v>5</v>
      </c>
      <c r="F486">
        <v>2</v>
      </c>
      <c r="G486" s="4">
        <v>45589</v>
      </c>
      <c r="H486" s="5">
        <v>40058.19</v>
      </c>
    </row>
    <row r="487" spans="1:8" x14ac:dyDescent="0.3">
      <c r="A487">
        <v>4486</v>
      </c>
      <c r="B487">
        <v>1076</v>
      </c>
      <c r="C487">
        <v>2004</v>
      </c>
      <c r="D487">
        <v>3007</v>
      </c>
      <c r="E487">
        <v>3</v>
      </c>
      <c r="F487">
        <v>27</v>
      </c>
      <c r="G487" s="4">
        <v>45595</v>
      </c>
      <c r="H487" s="5">
        <v>10877.56</v>
      </c>
    </row>
    <row r="488" spans="1:8" x14ac:dyDescent="0.3">
      <c r="A488">
        <v>4487</v>
      </c>
      <c r="B488">
        <v>1039</v>
      </c>
      <c r="C488">
        <v>2003</v>
      </c>
      <c r="D488">
        <v>3009</v>
      </c>
      <c r="E488">
        <v>1</v>
      </c>
      <c r="F488">
        <v>9</v>
      </c>
      <c r="G488" s="4">
        <v>45582</v>
      </c>
      <c r="H488" s="5">
        <v>12053.28</v>
      </c>
    </row>
    <row r="489" spans="1:8" x14ac:dyDescent="0.3">
      <c r="A489">
        <v>4488</v>
      </c>
      <c r="B489">
        <v>1217</v>
      </c>
      <c r="C489">
        <v>2018</v>
      </c>
      <c r="D489">
        <v>3025</v>
      </c>
      <c r="E489">
        <v>5</v>
      </c>
      <c r="F489">
        <v>3</v>
      </c>
      <c r="G489" s="4">
        <v>45576</v>
      </c>
      <c r="H489" s="5">
        <v>35146.660000000003</v>
      </c>
    </row>
    <row r="490" spans="1:8" x14ac:dyDescent="0.3">
      <c r="A490">
        <v>4489</v>
      </c>
      <c r="B490">
        <v>1121</v>
      </c>
      <c r="C490">
        <v>2002</v>
      </c>
      <c r="D490">
        <v>3032</v>
      </c>
      <c r="E490">
        <v>1</v>
      </c>
      <c r="F490">
        <v>11</v>
      </c>
      <c r="G490" s="4">
        <v>45603</v>
      </c>
      <c r="H490" s="5">
        <v>8511.9599999999991</v>
      </c>
    </row>
    <row r="491" spans="1:8" x14ac:dyDescent="0.3">
      <c r="A491">
        <v>4490</v>
      </c>
      <c r="B491">
        <v>1222</v>
      </c>
      <c r="C491">
        <v>2002</v>
      </c>
      <c r="D491">
        <v>3034</v>
      </c>
      <c r="E491">
        <v>4</v>
      </c>
      <c r="F491">
        <v>15</v>
      </c>
      <c r="G491" s="4">
        <v>45615</v>
      </c>
      <c r="H491" s="5">
        <v>32358.400000000001</v>
      </c>
    </row>
    <row r="492" spans="1:8" x14ac:dyDescent="0.3">
      <c r="A492">
        <v>4491</v>
      </c>
      <c r="B492">
        <v>1233</v>
      </c>
      <c r="C492">
        <v>2023</v>
      </c>
      <c r="D492">
        <v>3010</v>
      </c>
      <c r="E492">
        <v>2</v>
      </c>
      <c r="F492">
        <v>11</v>
      </c>
      <c r="G492" s="4">
        <v>45606</v>
      </c>
      <c r="H492" s="5">
        <v>8499.76</v>
      </c>
    </row>
    <row r="493" spans="1:8" x14ac:dyDescent="0.3">
      <c r="A493">
        <v>4492</v>
      </c>
      <c r="B493">
        <v>1053</v>
      </c>
      <c r="C493">
        <v>2008</v>
      </c>
      <c r="D493">
        <v>3016</v>
      </c>
      <c r="E493">
        <v>5</v>
      </c>
      <c r="F493">
        <v>1</v>
      </c>
      <c r="G493" s="4">
        <v>45611</v>
      </c>
      <c r="H493" s="5">
        <v>10619.12</v>
      </c>
    </row>
    <row r="494" spans="1:8" x14ac:dyDescent="0.3">
      <c r="A494">
        <v>4493</v>
      </c>
      <c r="B494">
        <v>1154</v>
      </c>
      <c r="C494">
        <v>2013</v>
      </c>
      <c r="D494">
        <v>3032</v>
      </c>
      <c r="E494">
        <v>1</v>
      </c>
      <c r="F494">
        <v>15</v>
      </c>
      <c r="G494" s="4">
        <v>45614</v>
      </c>
      <c r="H494" s="5">
        <v>10039.82</v>
      </c>
    </row>
    <row r="495" spans="1:8" x14ac:dyDescent="0.3">
      <c r="A495">
        <v>4494</v>
      </c>
      <c r="B495">
        <v>1128</v>
      </c>
      <c r="C495">
        <v>2012</v>
      </c>
      <c r="D495">
        <v>3018</v>
      </c>
      <c r="E495">
        <v>5</v>
      </c>
      <c r="F495">
        <v>2</v>
      </c>
      <c r="G495" s="4">
        <v>45575</v>
      </c>
      <c r="H495" s="5">
        <v>57940.63</v>
      </c>
    </row>
    <row r="496" spans="1:8" x14ac:dyDescent="0.3">
      <c r="A496">
        <v>4495</v>
      </c>
      <c r="B496">
        <v>1112</v>
      </c>
      <c r="C496">
        <v>2023</v>
      </c>
      <c r="D496">
        <v>3024</v>
      </c>
      <c r="E496">
        <v>2</v>
      </c>
      <c r="F496">
        <v>21</v>
      </c>
      <c r="G496" s="4">
        <v>45603</v>
      </c>
      <c r="H496" s="5">
        <v>7556.3</v>
      </c>
    </row>
    <row r="497" spans="1:8" x14ac:dyDescent="0.3">
      <c r="A497">
        <v>4496</v>
      </c>
      <c r="B497">
        <v>1228</v>
      </c>
      <c r="C497">
        <v>2012</v>
      </c>
      <c r="D497">
        <v>3003</v>
      </c>
      <c r="E497">
        <v>4</v>
      </c>
      <c r="F497">
        <v>13</v>
      </c>
      <c r="G497" s="4">
        <v>45596</v>
      </c>
      <c r="H497" s="5">
        <v>41411.08</v>
      </c>
    </row>
    <row r="498" spans="1:8" x14ac:dyDescent="0.3">
      <c r="A498">
        <v>4497</v>
      </c>
      <c r="B498">
        <v>1171</v>
      </c>
      <c r="C498">
        <v>2017</v>
      </c>
      <c r="D498">
        <v>3029</v>
      </c>
      <c r="E498">
        <v>5</v>
      </c>
      <c r="F498">
        <v>26</v>
      </c>
      <c r="G498" s="4">
        <v>45578</v>
      </c>
      <c r="H498" s="5">
        <v>30361.87</v>
      </c>
    </row>
    <row r="499" spans="1:8" x14ac:dyDescent="0.3">
      <c r="A499">
        <v>4498</v>
      </c>
      <c r="B499">
        <v>1141</v>
      </c>
      <c r="C499">
        <v>2018</v>
      </c>
      <c r="D499">
        <v>3025</v>
      </c>
      <c r="E499">
        <v>1</v>
      </c>
      <c r="F499">
        <v>4</v>
      </c>
      <c r="G499" s="4">
        <v>45588</v>
      </c>
      <c r="H499" s="5">
        <v>6951.83</v>
      </c>
    </row>
    <row r="500" spans="1:8" x14ac:dyDescent="0.3">
      <c r="A500">
        <v>4499</v>
      </c>
      <c r="B500">
        <v>1030</v>
      </c>
      <c r="C500">
        <v>2013</v>
      </c>
      <c r="D500">
        <v>3014</v>
      </c>
      <c r="E500">
        <v>4</v>
      </c>
      <c r="F500">
        <v>18</v>
      </c>
      <c r="G500" s="4">
        <v>45611</v>
      </c>
      <c r="H500" s="5">
        <v>38903.72</v>
      </c>
    </row>
    <row r="501" spans="1:8" x14ac:dyDescent="0.3">
      <c r="A501">
        <v>4500</v>
      </c>
      <c r="B501">
        <v>1109</v>
      </c>
      <c r="C501">
        <v>2014</v>
      </c>
      <c r="D501">
        <v>3002</v>
      </c>
      <c r="E501">
        <v>2</v>
      </c>
      <c r="F501">
        <v>28</v>
      </c>
      <c r="G501" s="4">
        <v>45615</v>
      </c>
      <c r="H501" s="5">
        <v>19836</v>
      </c>
    </row>
    <row r="502" spans="1:8" x14ac:dyDescent="0.3">
      <c r="A502">
        <v>4501</v>
      </c>
      <c r="B502">
        <v>1048</v>
      </c>
      <c r="C502">
        <v>2015</v>
      </c>
      <c r="D502">
        <v>3020</v>
      </c>
      <c r="E502">
        <v>2</v>
      </c>
      <c r="F502">
        <v>21</v>
      </c>
      <c r="G502" s="4">
        <v>45601</v>
      </c>
      <c r="H502" s="5">
        <v>27912.9</v>
      </c>
    </row>
    <row r="503" spans="1:8" x14ac:dyDescent="0.3">
      <c r="A503">
        <v>4502</v>
      </c>
      <c r="B503">
        <v>1020</v>
      </c>
      <c r="C503">
        <v>2013</v>
      </c>
      <c r="D503">
        <v>3010</v>
      </c>
      <c r="E503">
        <v>5</v>
      </c>
      <c r="F503">
        <v>12</v>
      </c>
      <c r="G503" s="4">
        <v>45596</v>
      </c>
      <c r="H503" s="5">
        <v>52396.36</v>
      </c>
    </row>
    <row r="504" spans="1:8" x14ac:dyDescent="0.3">
      <c r="A504">
        <v>4503</v>
      </c>
      <c r="B504">
        <v>1146</v>
      </c>
      <c r="C504">
        <v>2001</v>
      </c>
      <c r="D504">
        <v>3008</v>
      </c>
      <c r="E504">
        <v>5</v>
      </c>
      <c r="F504">
        <v>19</v>
      </c>
      <c r="G504" s="4">
        <v>45591</v>
      </c>
      <c r="H504" s="5">
        <v>29099.93</v>
      </c>
    </row>
    <row r="505" spans="1:8" x14ac:dyDescent="0.3">
      <c r="A505">
        <v>4504</v>
      </c>
      <c r="B505">
        <v>1220</v>
      </c>
      <c r="C505">
        <v>2007</v>
      </c>
      <c r="D505">
        <v>3002</v>
      </c>
      <c r="E505">
        <v>2</v>
      </c>
      <c r="F505">
        <v>3</v>
      </c>
      <c r="G505" s="4">
        <v>45593</v>
      </c>
      <c r="H505" s="5">
        <v>6612.46</v>
      </c>
    </row>
    <row r="506" spans="1:8" x14ac:dyDescent="0.3">
      <c r="A506">
        <v>4505</v>
      </c>
      <c r="B506">
        <v>1136</v>
      </c>
      <c r="C506">
        <v>2013</v>
      </c>
      <c r="D506">
        <v>3020</v>
      </c>
      <c r="E506">
        <v>5</v>
      </c>
      <c r="F506">
        <v>22</v>
      </c>
      <c r="G506" s="4">
        <v>45596</v>
      </c>
      <c r="H506" s="5">
        <v>46171.81</v>
      </c>
    </row>
    <row r="507" spans="1:8" x14ac:dyDescent="0.3">
      <c r="A507">
        <v>4506</v>
      </c>
      <c r="B507">
        <v>1273</v>
      </c>
      <c r="C507">
        <v>2005</v>
      </c>
      <c r="D507">
        <v>3019</v>
      </c>
      <c r="E507">
        <v>2</v>
      </c>
      <c r="F507">
        <v>2</v>
      </c>
      <c r="G507" s="4">
        <v>45580</v>
      </c>
      <c r="H507" s="5">
        <v>7525.85</v>
      </c>
    </row>
    <row r="508" spans="1:8" x14ac:dyDescent="0.3">
      <c r="A508">
        <v>4507</v>
      </c>
      <c r="B508">
        <v>1207</v>
      </c>
      <c r="C508">
        <v>2023</v>
      </c>
      <c r="D508">
        <v>3034</v>
      </c>
      <c r="E508">
        <v>2</v>
      </c>
      <c r="F508">
        <v>25</v>
      </c>
      <c r="G508" s="4">
        <v>45604</v>
      </c>
      <c r="H508" s="5">
        <v>7232.23</v>
      </c>
    </row>
    <row r="509" spans="1:8" x14ac:dyDescent="0.3">
      <c r="A509">
        <v>4508</v>
      </c>
      <c r="B509">
        <v>1126</v>
      </c>
      <c r="C509">
        <v>2025</v>
      </c>
      <c r="D509">
        <v>3010</v>
      </c>
      <c r="E509">
        <v>5</v>
      </c>
      <c r="F509">
        <v>18</v>
      </c>
      <c r="G509" s="4">
        <v>45597</v>
      </c>
      <c r="H509" s="5">
        <v>70126.789999999994</v>
      </c>
    </row>
    <row r="510" spans="1:8" x14ac:dyDescent="0.3">
      <c r="A510">
        <v>4509</v>
      </c>
      <c r="B510">
        <v>1255</v>
      </c>
      <c r="C510">
        <v>2007</v>
      </c>
      <c r="D510">
        <v>3022</v>
      </c>
      <c r="E510">
        <v>3</v>
      </c>
      <c r="F510">
        <v>2</v>
      </c>
      <c r="G510" s="4">
        <v>45579</v>
      </c>
      <c r="H510" s="5">
        <v>10025.14</v>
      </c>
    </row>
    <row r="511" spans="1:8" x14ac:dyDescent="0.3">
      <c r="A511">
        <v>4510</v>
      </c>
      <c r="B511">
        <v>1249</v>
      </c>
      <c r="C511">
        <v>2010</v>
      </c>
      <c r="D511">
        <v>3021</v>
      </c>
      <c r="E511">
        <v>4</v>
      </c>
      <c r="F511">
        <v>4</v>
      </c>
      <c r="G511" s="4">
        <v>45600</v>
      </c>
      <c r="H511" s="5">
        <v>68842.2</v>
      </c>
    </row>
    <row r="512" spans="1:8" x14ac:dyDescent="0.3">
      <c r="A512">
        <v>4511</v>
      </c>
      <c r="B512">
        <v>1213</v>
      </c>
      <c r="C512">
        <v>2020</v>
      </c>
      <c r="D512">
        <v>3016</v>
      </c>
      <c r="E512">
        <v>2</v>
      </c>
      <c r="F512">
        <v>14</v>
      </c>
      <c r="G512" s="4">
        <v>45576</v>
      </c>
      <c r="H512" s="5">
        <v>7772.75</v>
      </c>
    </row>
    <row r="513" spans="1:8" x14ac:dyDescent="0.3">
      <c r="A513">
        <v>4512</v>
      </c>
      <c r="B513">
        <v>1145</v>
      </c>
      <c r="C513">
        <v>2017</v>
      </c>
      <c r="D513">
        <v>3026</v>
      </c>
      <c r="E513">
        <v>1</v>
      </c>
      <c r="F513">
        <v>6</v>
      </c>
      <c r="G513" s="4">
        <v>45611</v>
      </c>
      <c r="H513" s="5">
        <v>7685.02</v>
      </c>
    </row>
    <row r="514" spans="1:8" x14ac:dyDescent="0.3">
      <c r="A514">
        <v>4513</v>
      </c>
      <c r="B514">
        <v>1137</v>
      </c>
      <c r="C514">
        <v>2016</v>
      </c>
      <c r="D514">
        <v>3015</v>
      </c>
      <c r="E514">
        <v>2</v>
      </c>
      <c r="F514">
        <v>14</v>
      </c>
      <c r="G514" s="4">
        <v>45616</v>
      </c>
      <c r="H514" s="5">
        <v>21056.240000000002</v>
      </c>
    </row>
    <row r="515" spans="1:8" x14ac:dyDescent="0.3">
      <c r="A515">
        <v>4514</v>
      </c>
      <c r="B515">
        <v>1133</v>
      </c>
      <c r="C515">
        <v>2005</v>
      </c>
      <c r="D515">
        <v>3013</v>
      </c>
      <c r="E515">
        <v>2</v>
      </c>
      <c r="F515">
        <v>14</v>
      </c>
      <c r="G515" s="4">
        <v>45584</v>
      </c>
      <c r="H515" s="5">
        <v>6595.64</v>
      </c>
    </row>
    <row r="516" spans="1:8" x14ac:dyDescent="0.3">
      <c r="A516">
        <v>4515</v>
      </c>
      <c r="B516">
        <v>1072</v>
      </c>
      <c r="C516">
        <v>2012</v>
      </c>
      <c r="D516">
        <v>3003</v>
      </c>
      <c r="E516">
        <v>2</v>
      </c>
      <c r="F516">
        <v>14</v>
      </c>
      <c r="G516" s="4">
        <v>45591</v>
      </c>
      <c r="H516" s="5">
        <v>20503.8</v>
      </c>
    </row>
    <row r="517" spans="1:8" x14ac:dyDescent="0.3">
      <c r="A517">
        <v>4516</v>
      </c>
      <c r="B517">
        <v>1133</v>
      </c>
      <c r="C517">
        <v>2003</v>
      </c>
      <c r="D517">
        <v>3031</v>
      </c>
      <c r="E517">
        <v>1</v>
      </c>
      <c r="F517">
        <v>17</v>
      </c>
      <c r="G517" s="4">
        <v>45594</v>
      </c>
      <c r="H517" s="5">
        <v>10990.03</v>
      </c>
    </row>
    <row r="518" spans="1:8" x14ac:dyDescent="0.3">
      <c r="A518">
        <v>4517</v>
      </c>
      <c r="B518">
        <v>1252</v>
      </c>
      <c r="C518">
        <v>2015</v>
      </c>
      <c r="D518">
        <v>3019</v>
      </c>
      <c r="E518">
        <v>1</v>
      </c>
      <c r="F518">
        <v>8</v>
      </c>
      <c r="G518" s="4">
        <v>45601</v>
      </c>
      <c r="H518" s="5">
        <v>16114.7</v>
      </c>
    </row>
    <row r="519" spans="1:8" x14ac:dyDescent="0.3">
      <c r="A519">
        <v>4518</v>
      </c>
      <c r="B519">
        <v>1041</v>
      </c>
      <c r="C519">
        <v>2011</v>
      </c>
      <c r="D519">
        <v>3011</v>
      </c>
      <c r="E519">
        <v>4</v>
      </c>
      <c r="F519">
        <v>7</v>
      </c>
      <c r="G519" s="4">
        <v>45585</v>
      </c>
      <c r="H519" s="5">
        <v>27937.05</v>
      </c>
    </row>
    <row r="520" spans="1:8" x14ac:dyDescent="0.3">
      <c r="A520">
        <v>4519</v>
      </c>
      <c r="B520">
        <v>1038</v>
      </c>
      <c r="C520">
        <v>2020</v>
      </c>
      <c r="D520">
        <v>3028</v>
      </c>
      <c r="E520">
        <v>4</v>
      </c>
      <c r="F520">
        <v>11</v>
      </c>
      <c r="G520" s="4">
        <v>45609</v>
      </c>
      <c r="H520" s="5">
        <v>15951.86</v>
      </c>
    </row>
    <row r="521" spans="1:8" x14ac:dyDescent="0.3">
      <c r="A521">
        <v>4520</v>
      </c>
      <c r="B521">
        <v>1263</v>
      </c>
      <c r="C521">
        <v>2004</v>
      </c>
      <c r="D521">
        <v>3001</v>
      </c>
      <c r="E521">
        <v>4</v>
      </c>
      <c r="F521">
        <v>3</v>
      </c>
      <c r="G521" s="4">
        <v>45601</v>
      </c>
      <c r="H521" s="5">
        <v>19154.34</v>
      </c>
    </row>
    <row r="522" spans="1:8" x14ac:dyDescent="0.3">
      <c r="A522">
        <v>4521</v>
      </c>
      <c r="B522">
        <v>1172</v>
      </c>
      <c r="C522">
        <v>2014</v>
      </c>
      <c r="D522">
        <v>3025</v>
      </c>
      <c r="E522">
        <v>3</v>
      </c>
      <c r="F522">
        <v>26</v>
      </c>
      <c r="G522" s="4">
        <v>45597</v>
      </c>
      <c r="H522" s="5">
        <v>30662.18</v>
      </c>
    </row>
    <row r="523" spans="1:8" x14ac:dyDescent="0.3">
      <c r="A523">
        <v>4522</v>
      </c>
      <c r="B523">
        <v>1005</v>
      </c>
      <c r="C523">
        <v>2016</v>
      </c>
      <c r="D523">
        <v>3025</v>
      </c>
      <c r="E523">
        <v>3</v>
      </c>
      <c r="F523">
        <v>21</v>
      </c>
      <c r="G523" s="4">
        <v>45596</v>
      </c>
      <c r="H523" s="5">
        <v>29134.74</v>
      </c>
    </row>
    <row r="524" spans="1:8" x14ac:dyDescent="0.3">
      <c r="A524">
        <v>4523</v>
      </c>
      <c r="B524">
        <v>1110</v>
      </c>
      <c r="C524">
        <v>2005</v>
      </c>
      <c r="D524">
        <v>3033</v>
      </c>
      <c r="E524">
        <v>1</v>
      </c>
      <c r="F524">
        <v>15</v>
      </c>
      <c r="G524" s="4">
        <v>45590</v>
      </c>
      <c r="H524" s="5">
        <v>3241.17</v>
      </c>
    </row>
    <row r="525" spans="1:8" x14ac:dyDescent="0.3">
      <c r="A525">
        <v>4524</v>
      </c>
      <c r="B525">
        <v>1208</v>
      </c>
      <c r="C525">
        <v>2005</v>
      </c>
      <c r="D525">
        <v>3031</v>
      </c>
      <c r="E525">
        <v>3</v>
      </c>
      <c r="F525">
        <v>23</v>
      </c>
      <c r="G525" s="4">
        <v>45608</v>
      </c>
      <c r="H525" s="5">
        <v>8819.7099999999991</v>
      </c>
    </row>
    <row r="526" spans="1:8" x14ac:dyDescent="0.3">
      <c r="A526">
        <v>4525</v>
      </c>
      <c r="B526">
        <v>1023</v>
      </c>
      <c r="C526">
        <v>2008</v>
      </c>
      <c r="D526">
        <v>3032</v>
      </c>
      <c r="E526">
        <v>3</v>
      </c>
      <c r="F526">
        <v>4</v>
      </c>
      <c r="G526" s="4">
        <v>45581</v>
      </c>
      <c r="H526" s="5">
        <v>6140.15</v>
      </c>
    </row>
    <row r="527" spans="1:8" x14ac:dyDescent="0.3">
      <c r="A527">
        <v>4526</v>
      </c>
      <c r="B527">
        <v>1083</v>
      </c>
      <c r="C527">
        <v>2003</v>
      </c>
      <c r="D527">
        <v>3024</v>
      </c>
      <c r="E527">
        <v>3</v>
      </c>
      <c r="F527">
        <v>11</v>
      </c>
      <c r="G527" s="4">
        <v>45592</v>
      </c>
      <c r="H527" s="5">
        <v>35325.660000000003</v>
      </c>
    </row>
    <row r="528" spans="1:8" x14ac:dyDescent="0.3">
      <c r="A528">
        <v>4527</v>
      </c>
      <c r="B528">
        <v>1210</v>
      </c>
      <c r="C528">
        <v>2022</v>
      </c>
      <c r="D528">
        <v>3009</v>
      </c>
      <c r="E528">
        <v>5</v>
      </c>
      <c r="F528">
        <v>1</v>
      </c>
      <c r="G528" s="4">
        <v>45586</v>
      </c>
      <c r="H528" s="5">
        <v>85016.17</v>
      </c>
    </row>
    <row r="529" spans="1:8" x14ac:dyDescent="0.3">
      <c r="A529">
        <v>4528</v>
      </c>
      <c r="B529">
        <v>1091</v>
      </c>
      <c r="C529">
        <v>2009</v>
      </c>
      <c r="D529">
        <v>3016</v>
      </c>
      <c r="E529">
        <v>3</v>
      </c>
      <c r="F529">
        <v>4</v>
      </c>
      <c r="G529" s="4">
        <v>45614</v>
      </c>
      <c r="H529" s="5">
        <v>31729.19</v>
      </c>
    </row>
    <row r="530" spans="1:8" x14ac:dyDescent="0.3">
      <c r="A530">
        <v>4529</v>
      </c>
      <c r="B530">
        <v>1153</v>
      </c>
      <c r="C530">
        <v>2015</v>
      </c>
      <c r="D530">
        <v>3023</v>
      </c>
      <c r="E530">
        <v>4</v>
      </c>
      <c r="F530">
        <v>13</v>
      </c>
      <c r="G530" s="4">
        <v>45584</v>
      </c>
      <c r="H530" s="5">
        <v>61078.84</v>
      </c>
    </row>
    <row r="531" spans="1:8" x14ac:dyDescent="0.3">
      <c r="A531">
        <v>4530</v>
      </c>
      <c r="B531">
        <v>1263</v>
      </c>
      <c r="C531">
        <v>2012</v>
      </c>
      <c r="D531">
        <v>3029</v>
      </c>
      <c r="E531">
        <v>2</v>
      </c>
      <c r="F531">
        <v>6</v>
      </c>
      <c r="G531" s="4">
        <v>45600</v>
      </c>
      <c r="H531" s="5">
        <v>22385.91</v>
      </c>
    </row>
    <row r="532" spans="1:8" x14ac:dyDescent="0.3">
      <c r="A532">
        <v>4531</v>
      </c>
      <c r="B532">
        <v>1251</v>
      </c>
      <c r="C532">
        <v>2010</v>
      </c>
      <c r="D532">
        <v>3001</v>
      </c>
      <c r="E532">
        <v>4</v>
      </c>
      <c r="F532">
        <v>11</v>
      </c>
      <c r="G532" s="4">
        <v>45579</v>
      </c>
      <c r="H532" s="5">
        <v>63748.88</v>
      </c>
    </row>
    <row r="533" spans="1:8" x14ac:dyDescent="0.3">
      <c r="A533">
        <v>4532</v>
      </c>
      <c r="B533">
        <v>1036</v>
      </c>
      <c r="C533">
        <v>2022</v>
      </c>
      <c r="D533">
        <v>3027</v>
      </c>
      <c r="E533">
        <v>5</v>
      </c>
      <c r="F533">
        <v>19</v>
      </c>
      <c r="G533" s="4">
        <v>45590</v>
      </c>
      <c r="H533" s="5">
        <v>69170.490000000005</v>
      </c>
    </row>
    <row r="534" spans="1:8" x14ac:dyDescent="0.3">
      <c r="A534">
        <v>4533</v>
      </c>
      <c r="B534">
        <v>1124</v>
      </c>
      <c r="C534">
        <v>2003</v>
      </c>
      <c r="D534">
        <v>3010</v>
      </c>
      <c r="E534">
        <v>5</v>
      </c>
      <c r="F534">
        <v>3</v>
      </c>
      <c r="G534" s="4">
        <v>45579</v>
      </c>
      <c r="H534" s="5">
        <v>64020.24</v>
      </c>
    </row>
    <row r="535" spans="1:8" x14ac:dyDescent="0.3">
      <c r="A535">
        <v>4534</v>
      </c>
      <c r="B535">
        <v>1032</v>
      </c>
      <c r="C535">
        <v>2006</v>
      </c>
      <c r="D535">
        <v>3006</v>
      </c>
      <c r="E535">
        <v>1</v>
      </c>
      <c r="F535">
        <v>11</v>
      </c>
      <c r="G535" s="4">
        <v>45577</v>
      </c>
      <c r="H535" s="5">
        <v>10726.16</v>
      </c>
    </row>
    <row r="536" spans="1:8" x14ac:dyDescent="0.3">
      <c r="A536">
        <v>4535</v>
      </c>
      <c r="B536">
        <v>1129</v>
      </c>
      <c r="C536">
        <v>2023</v>
      </c>
      <c r="D536">
        <v>3020</v>
      </c>
      <c r="E536">
        <v>1</v>
      </c>
      <c r="F536">
        <v>29</v>
      </c>
      <c r="G536" s="4">
        <v>45596</v>
      </c>
      <c r="H536" s="5">
        <v>3416.68</v>
      </c>
    </row>
    <row r="537" spans="1:8" x14ac:dyDescent="0.3">
      <c r="A537">
        <v>4536</v>
      </c>
      <c r="B537">
        <v>1200</v>
      </c>
      <c r="C537">
        <v>2018</v>
      </c>
      <c r="D537">
        <v>3007</v>
      </c>
      <c r="E537">
        <v>4</v>
      </c>
      <c r="F537">
        <v>20</v>
      </c>
      <c r="G537" s="4">
        <v>45579</v>
      </c>
      <c r="H537" s="5">
        <v>23221.06</v>
      </c>
    </row>
    <row r="538" spans="1:8" x14ac:dyDescent="0.3">
      <c r="A538">
        <v>4537</v>
      </c>
      <c r="B538">
        <v>1151</v>
      </c>
      <c r="C538">
        <v>2005</v>
      </c>
      <c r="D538">
        <v>3001</v>
      </c>
      <c r="E538">
        <v>4</v>
      </c>
      <c r="F538">
        <v>22</v>
      </c>
      <c r="G538" s="4">
        <v>45577</v>
      </c>
      <c r="H538" s="5">
        <v>11932.64</v>
      </c>
    </row>
    <row r="539" spans="1:8" x14ac:dyDescent="0.3">
      <c r="A539">
        <v>4538</v>
      </c>
      <c r="B539">
        <v>1158</v>
      </c>
      <c r="C539">
        <v>2022</v>
      </c>
      <c r="D539">
        <v>3017</v>
      </c>
      <c r="E539">
        <v>4</v>
      </c>
      <c r="F539">
        <v>15</v>
      </c>
      <c r="G539" s="4">
        <v>45578</v>
      </c>
      <c r="H539" s="5">
        <v>58162.55</v>
      </c>
    </row>
    <row r="540" spans="1:8" x14ac:dyDescent="0.3">
      <c r="A540">
        <v>4539</v>
      </c>
      <c r="B540">
        <v>1173</v>
      </c>
      <c r="C540">
        <v>2017</v>
      </c>
      <c r="D540">
        <v>3009</v>
      </c>
      <c r="E540">
        <v>3</v>
      </c>
      <c r="F540">
        <v>1</v>
      </c>
      <c r="G540" s="4">
        <v>45608</v>
      </c>
      <c r="H540" s="5">
        <v>24332.07</v>
      </c>
    </row>
    <row r="541" spans="1:8" x14ac:dyDescent="0.3">
      <c r="A541">
        <v>4540</v>
      </c>
      <c r="B541">
        <v>1248</v>
      </c>
      <c r="C541">
        <v>2010</v>
      </c>
      <c r="D541">
        <v>3002</v>
      </c>
      <c r="E541">
        <v>2</v>
      </c>
      <c r="F541">
        <v>25</v>
      </c>
      <c r="G541" s="4">
        <v>45582</v>
      </c>
      <c r="H541" s="5">
        <v>26931.55</v>
      </c>
    </row>
    <row r="542" spans="1:8" x14ac:dyDescent="0.3">
      <c r="A542">
        <v>4541</v>
      </c>
      <c r="B542">
        <v>1149</v>
      </c>
      <c r="C542">
        <v>2003</v>
      </c>
      <c r="D542">
        <v>3030</v>
      </c>
      <c r="E542">
        <v>2</v>
      </c>
      <c r="F542">
        <v>0</v>
      </c>
      <c r="G542" s="4">
        <v>45607</v>
      </c>
      <c r="H542" s="5">
        <v>26482</v>
      </c>
    </row>
    <row r="543" spans="1:8" x14ac:dyDescent="0.3">
      <c r="A543">
        <v>4542</v>
      </c>
      <c r="B543">
        <v>1088</v>
      </c>
      <c r="C543">
        <v>2021</v>
      </c>
      <c r="D543">
        <v>3029</v>
      </c>
      <c r="E543">
        <v>1</v>
      </c>
      <c r="F543">
        <v>22</v>
      </c>
      <c r="G543" s="4">
        <v>45582</v>
      </c>
      <c r="H543" s="5">
        <v>13703.01</v>
      </c>
    </row>
    <row r="544" spans="1:8" x14ac:dyDescent="0.3">
      <c r="A544">
        <v>4543</v>
      </c>
      <c r="B544">
        <v>1140</v>
      </c>
      <c r="C544">
        <v>2012</v>
      </c>
      <c r="D544">
        <v>3025</v>
      </c>
      <c r="E544">
        <v>3</v>
      </c>
      <c r="F544">
        <v>18</v>
      </c>
      <c r="G544" s="4">
        <v>45601</v>
      </c>
      <c r="H544" s="5">
        <v>29185.7</v>
      </c>
    </row>
    <row r="545" spans="1:8" x14ac:dyDescent="0.3">
      <c r="A545">
        <v>4544</v>
      </c>
      <c r="B545">
        <v>1297</v>
      </c>
      <c r="C545">
        <v>2023</v>
      </c>
      <c r="D545">
        <v>3021</v>
      </c>
      <c r="E545">
        <v>3</v>
      </c>
      <c r="F545">
        <v>21</v>
      </c>
      <c r="G545" s="4">
        <v>45601</v>
      </c>
      <c r="H545" s="5">
        <v>11348.84</v>
      </c>
    </row>
    <row r="546" spans="1:8" x14ac:dyDescent="0.3">
      <c r="A546">
        <v>4545</v>
      </c>
      <c r="B546">
        <v>1176</v>
      </c>
      <c r="C546">
        <v>2007</v>
      </c>
      <c r="D546">
        <v>3027</v>
      </c>
      <c r="E546">
        <v>3</v>
      </c>
      <c r="F546">
        <v>27</v>
      </c>
      <c r="G546" s="4">
        <v>45593</v>
      </c>
      <c r="H546" s="5">
        <v>7461.02</v>
      </c>
    </row>
    <row r="547" spans="1:8" x14ac:dyDescent="0.3">
      <c r="A547">
        <v>4546</v>
      </c>
      <c r="B547">
        <v>1113</v>
      </c>
      <c r="C547">
        <v>2022</v>
      </c>
      <c r="D547">
        <v>3001</v>
      </c>
      <c r="E547">
        <v>3</v>
      </c>
      <c r="F547">
        <v>29</v>
      </c>
      <c r="G547" s="4">
        <v>45613</v>
      </c>
      <c r="H547" s="5">
        <v>36326.730000000003</v>
      </c>
    </row>
    <row r="548" spans="1:8" x14ac:dyDescent="0.3">
      <c r="A548">
        <v>4547</v>
      </c>
      <c r="B548">
        <v>1238</v>
      </c>
      <c r="C548">
        <v>2012</v>
      </c>
      <c r="D548">
        <v>3014</v>
      </c>
      <c r="E548">
        <v>5</v>
      </c>
      <c r="F548">
        <v>12</v>
      </c>
      <c r="G548" s="4">
        <v>45592</v>
      </c>
      <c r="H548" s="5">
        <v>52475.87</v>
      </c>
    </row>
    <row r="549" spans="1:8" x14ac:dyDescent="0.3">
      <c r="A549">
        <v>4548</v>
      </c>
      <c r="B549">
        <v>1282</v>
      </c>
      <c r="C549">
        <v>2019</v>
      </c>
      <c r="D549">
        <v>3021</v>
      </c>
      <c r="E549">
        <v>1</v>
      </c>
      <c r="F549">
        <v>13</v>
      </c>
      <c r="G549" s="4">
        <v>45593</v>
      </c>
      <c r="H549" s="5">
        <v>11846.68</v>
      </c>
    </row>
    <row r="550" spans="1:8" x14ac:dyDescent="0.3">
      <c r="A550">
        <v>4549</v>
      </c>
      <c r="B550">
        <v>1088</v>
      </c>
      <c r="C550">
        <v>2017</v>
      </c>
      <c r="D550">
        <v>3009</v>
      </c>
      <c r="E550">
        <v>5</v>
      </c>
      <c r="F550">
        <v>2</v>
      </c>
      <c r="G550" s="4">
        <v>45590</v>
      </c>
      <c r="H550" s="5">
        <v>40086.839999999997</v>
      </c>
    </row>
    <row r="551" spans="1:8" x14ac:dyDescent="0.3">
      <c r="A551">
        <v>4550</v>
      </c>
      <c r="B551">
        <v>1121</v>
      </c>
      <c r="C551">
        <v>2005</v>
      </c>
      <c r="D551">
        <v>3012</v>
      </c>
      <c r="E551">
        <v>4</v>
      </c>
      <c r="F551">
        <v>26</v>
      </c>
      <c r="G551" s="4">
        <v>45605</v>
      </c>
      <c r="H551" s="5">
        <v>11389.07</v>
      </c>
    </row>
    <row r="552" spans="1:8" x14ac:dyDescent="0.3">
      <c r="A552">
        <v>4551</v>
      </c>
      <c r="B552">
        <v>1094</v>
      </c>
      <c r="C552">
        <v>2019</v>
      </c>
      <c r="D552">
        <v>3008</v>
      </c>
      <c r="E552">
        <v>1</v>
      </c>
      <c r="F552">
        <v>2</v>
      </c>
      <c r="G552" s="4">
        <v>45594</v>
      </c>
      <c r="H552" s="5">
        <v>13286.31</v>
      </c>
    </row>
    <row r="553" spans="1:8" x14ac:dyDescent="0.3">
      <c r="A553">
        <v>4552</v>
      </c>
      <c r="B553">
        <v>1013</v>
      </c>
      <c r="C553">
        <v>2023</v>
      </c>
      <c r="D553">
        <v>3029</v>
      </c>
      <c r="E553">
        <v>5</v>
      </c>
      <c r="F553">
        <v>6</v>
      </c>
      <c r="G553" s="4">
        <v>45615</v>
      </c>
      <c r="H553" s="5">
        <v>22534.2</v>
      </c>
    </row>
    <row r="554" spans="1:8" x14ac:dyDescent="0.3">
      <c r="A554">
        <v>4553</v>
      </c>
      <c r="B554">
        <v>1252</v>
      </c>
      <c r="C554">
        <v>2011</v>
      </c>
      <c r="D554">
        <v>3013</v>
      </c>
      <c r="E554">
        <v>2</v>
      </c>
      <c r="F554">
        <v>8</v>
      </c>
      <c r="G554" s="4">
        <v>45606</v>
      </c>
      <c r="H554" s="5">
        <v>13759.06</v>
      </c>
    </row>
    <row r="555" spans="1:8" x14ac:dyDescent="0.3">
      <c r="A555">
        <v>4554</v>
      </c>
      <c r="B555">
        <v>1296</v>
      </c>
      <c r="C555">
        <v>2009</v>
      </c>
      <c r="D555">
        <v>3022</v>
      </c>
      <c r="E555">
        <v>1</v>
      </c>
      <c r="F555">
        <v>25</v>
      </c>
      <c r="G555" s="4">
        <v>45596</v>
      </c>
      <c r="H555" s="5">
        <v>8290.77</v>
      </c>
    </row>
    <row r="556" spans="1:8" x14ac:dyDescent="0.3">
      <c r="A556">
        <v>4555</v>
      </c>
      <c r="B556">
        <v>1181</v>
      </c>
      <c r="C556">
        <v>2018</v>
      </c>
      <c r="D556">
        <v>3018</v>
      </c>
      <c r="E556">
        <v>4</v>
      </c>
      <c r="F556">
        <v>17</v>
      </c>
      <c r="G556" s="4">
        <v>45586</v>
      </c>
      <c r="H556" s="5">
        <v>24075.73</v>
      </c>
    </row>
    <row r="557" spans="1:8" x14ac:dyDescent="0.3">
      <c r="A557">
        <v>4556</v>
      </c>
      <c r="B557">
        <v>1228</v>
      </c>
      <c r="C557">
        <v>2020</v>
      </c>
      <c r="D557">
        <v>3008</v>
      </c>
      <c r="E557">
        <v>1</v>
      </c>
      <c r="F557">
        <v>26</v>
      </c>
      <c r="G557" s="4">
        <v>45607</v>
      </c>
      <c r="H557" s="5">
        <v>3311.02</v>
      </c>
    </row>
    <row r="558" spans="1:8" x14ac:dyDescent="0.3">
      <c r="A558">
        <v>4557</v>
      </c>
      <c r="B558">
        <v>1047</v>
      </c>
      <c r="C558">
        <v>2003</v>
      </c>
      <c r="D558">
        <v>3022</v>
      </c>
      <c r="E558">
        <v>5</v>
      </c>
      <c r="F558">
        <v>14</v>
      </c>
      <c r="G558" s="4">
        <v>45600</v>
      </c>
      <c r="H558" s="5">
        <v>57015.75</v>
      </c>
    </row>
    <row r="559" spans="1:8" x14ac:dyDescent="0.3">
      <c r="A559">
        <v>4558</v>
      </c>
      <c r="B559">
        <v>1260</v>
      </c>
      <c r="C559">
        <v>2016</v>
      </c>
      <c r="D559">
        <v>3014</v>
      </c>
      <c r="E559">
        <v>5</v>
      </c>
      <c r="F559">
        <v>14</v>
      </c>
      <c r="G559" s="4">
        <v>45581</v>
      </c>
      <c r="H559" s="5">
        <v>52848.71</v>
      </c>
    </row>
    <row r="560" spans="1:8" x14ac:dyDescent="0.3">
      <c r="A560">
        <v>4559</v>
      </c>
      <c r="B560">
        <v>1267</v>
      </c>
      <c r="C560">
        <v>2010</v>
      </c>
      <c r="D560">
        <v>3007</v>
      </c>
      <c r="E560">
        <v>2</v>
      </c>
      <c r="F560">
        <v>17</v>
      </c>
      <c r="G560" s="4">
        <v>45595</v>
      </c>
      <c r="H560" s="5">
        <v>29596.41</v>
      </c>
    </row>
    <row r="561" spans="1:8" x14ac:dyDescent="0.3">
      <c r="A561">
        <v>4560</v>
      </c>
      <c r="B561">
        <v>1067</v>
      </c>
      <c r="C561">
        <v>2008</v>
      </c>
      <c r="D561">
        <v>3028</v>
      </c>
      <c r="E561">
        <v>3</v>
      </c>
      <c r="F561">
        <v>27</v>
      </c>
      <c r="G561" s="4">
        <v>45584</v>
      </c>
      <c r="H561" s="5">
        <v>4693.8599999999997</v>
      </c>
    </row>
    <row r="562" spans="1:8" x14ac:dyDescent="0.3">
      <c r="A562">
        <v>4561</v>
      </c>
      <c r="B562">
        <v>1248</v>
      </c>
      <c r="C562">
        <v>2011</v>
      </c>
      <c r="D562">
        <v>3021</v>
      </c>
      <c r="E562">
        <v>2</v>
      </c>
      <c r="F562">
        <v>11</v>
      </c>
      <c r="G562" s="4">
        <v>45598</v>
      </c>
      <c r="H562" s="5">
        <v>13293.74</v>
      </c>
    </row>
    <row r="563" spans="1:8" x14ac:dyDescent="0.3">
      <c r="A563">
        <v>4562</v>
      </c>
      <c r="B563">
        <v>1111</v>
      </c>
      <c r="C563">
        <v>2006</v>
      </c>
      <c r="D563">
        <v>3026</v>
      </c>
      <c r="E563">
        <v>3</v>
      </c>
      <c r="F563">
        <v>11</v>
      </c>
      <c r="G563" s="4">
        <v>45600</v>
      </c>
      <c r="H563" s="5">
        <v>32232.76</v>
      </c>
    </row>
    <row r="564" spans="1:8" x14ac:dyDescent="0.3">
      <c r="A564">
        <v>4563</v>
      </c>
      <c r="B564">
        <v>1118</v>
      </c>
      <c r="C564">
        <v>2011</v>
      </c>
      <c r="D564">
        <v>3015</v>
      </c>
      <c r="E564">
        <v>5</v>
      </c>
      <c r="F564">
        <v>22</v>
      </c>
      <c r="G564" s="4">
        <v>45597</v>
      </c>
      <c r="H564" s="5">
        <v>29347.96</v>
      </c>
    </row>
    <row r="565" spans="1:8" x14ac:dyDescent="0.3">
      <c r="A565">
        <v>4564</v>
      </c>
      <c r="B565">
        <v>1020</v>
      </c>
      <c r="C565">
        <v>2004</v>
      </c>
      <c r="D565">
        <v>3026</v>
      </c>
      <c r="E565">
        <v>3</v>
      </c>
      <c r="F565">
        <v>10</v>
      </c>
      <c r="G565" s="4">
        <v>45613</v>
      </c>
      <c r="H565" s="5">
        <v>13328.8</v>
      </c>
    </row>
    <row r="566" spans="1:8" x14ac:dyDescent="0.3">
      <c r="A566">
        <v>4565</v>
      </c>
      <c r="B566">
        <v>1126</v>
      </c>
      <c r="C566">
        <v>2024</v>
      </c>
      <c r="D566">
        <v>3020</v>
      </c>
      <c r="E566">
        <v>3</v>
      </c>
      <c r="F566">
        <v>15</v>
      </c>
      <c r="G566" s="4">
        <v>45577</v>
      </c>
      <c r="H566" s="5">
        <v>41317.86</v>
      </c>
    </row>
    <row r="567" spans="1:8" x14ac:dyDescent="0.3">
      <c r="A567">
        <v>4566</v>
      </c>
      <c r="B567">
        <v>1117</v>
      </c>
      <c r="C567">
        <v>2004</v>
      </c>
      <c r="D567">
        <v>3017</v>
      </c>
      <c r="E567">
        <v>3</v>
      </c>
      <c r="F567">
        <v>11</v>
      </c>
      <c r="G567" s="4">
        <v>45613</v>
      </c>
      <c r="H567" s="5">
        <v>13250.07</v>
      </c>
    </row>
    <row r="568" spans="1:8" x14ac:dyDescent="0.3">
      <c r="A568">
        <v>4567</v>
      </c>
      <c r="B568">
        <v>1270</v>
      </c>
      <c r="C568">
        <v>2012</v>
      </c>
      <c r="D568">
        <v>3028</v>
      </c>
      <c r="E568">
        <v>2</v>
      </c>
      <c r="F568">
        <v>29</v>
      </c>
      <c r="G568" s="4">
        <v>45575</v>
      </c>
      <c r="H568" s="5">
        <v>16808.419999999998</v>
      </c>
    </row>
    <row r="569" spans="1:8" x14ac:dyDescent="0.3">
      <c r="A569">
        <v>4568</v>
      </c>
      <c r="B569">
        <v>1034</v>
      </c>
      <c r="C569">
        <v>2019</v>
      </c>
      <c r="D569">
        <v>3022</v>
      </c>
      <c r="E569">
        <v>3</v>
      </c>
      <c r="F569">
        <v>15</v>
      </c>
      <c r="G569" s="4">
        <v>45605</v>
      </c>
      <c r="H569" s="5">
        <v>34927.129999999997</v>
      </c>
    </row>
    <row r="570" spans="1:8" x14ac:dyDescent="0.3">
      <c r="A570">
        <v>4569</v>
      </c>
      <c r="B570">
        <v>1052</v>
      </c>
      <c r="C570">
        <v>2006</v>
      </c>
      <c r="D570">
        <v>3025</v>
      </c>
      <c r="E570">
        <v>2</v>
      </c>
      <c r="F570">
        <v>8</v>
      </c>
      <c r="G570" s="4">
        <v>45594</v>
      </c>
      <c r="H570" s="5">
        <v>22298.94</v>
      </c>
    </row>
    <row r="571" spans="1:8" x14ac:dyDescent="0.3">
      <c r="A571">
        <v>4570</v>
      </c>
      <c r="B571">
        <v>1049</v>
      </c>
      <c r="C571">
        <v>2023</v>
      </c>
      <c r="D571">
        <v>3025</v>
      </c>
      <c r="E571">
        <v>1</v>
      </c>
      <c r="F571">
        <v>25</v>
      </c>
      <c r="G571" s="4">
        <v>45600</v>
      </c>
      <c r="H571" s="5">
        <v>3599.34</v>
      </c>
    </row>
    <row r="572" spans="1:8" x14ac:dyDescent="0.3">
      <c r="A572">
        <v>4571</v>
      </c>
      <c r="B572">
        <v>1271</v>
      </c>
      <c r="C572">
        <v>2015</v>
      </c>
      <c r="D572">
        <v>3014</v>
      </c>
      <c r="E572">
        <v>1</v>
      </c>
      <c r="F572">
        <v>19</v>
      </c>
      <c r="G572" s="4">
        <v>45577</v>
      </c>
      <c r="H572" s="5">
        <v>14232.83</v>
      </c>
    </row>
    <row r="573" spans="1:8" x14ac:dyDescent="0.3">
      <c r="A573">
        <v>4572</v>
      </c>
      <c r="B573">
        <v>1101</v>
      </c>
      <c r="C573">
        <v>2023</v>
      </c>
      <c r="D573">
        <v>3015</v>
      </c>
      <c r="E573">
        <v>3</v>
      </c>
      <c r="F573">
        <v>2</v>
      </c>
      <c r="G573" s="4">
        <v>45613</v>
      </c>
      <c r="H573" s="5">
        <v>14144.7</v>
      </c>
    </row>
    <row r="574" spans="1:8" x14ac:dyDescent="0.3">
      <c r="A574">
        <v>4573</v>
      </c>
      <c r="B574">
        <v>1251</v>
      </c>
      <c r="C574">
        <v>2002</v>
      </c>
      <c r="D574">
        <v>3002</v>
      </c>
      <c r="E574">
        <v>3</v>
      </c>
      <c r="F574">
        <v>6</v>
      </c>
      <c r="G574" s="4">
        <v>45596</v>
      </c>
      <c r="H574" s="5">
        <v>26863</v>
      </c>
    </row>
    <row r="575" spans="1:8" x14ac:dyDescent="0.3">
      <c r="A575">
        <v>4574</v>
      </c>
      <c r="B575">
        <v>1127</v>
      </c>
      <c r="C575">
        <v>2015</v>
      </c>
      <c r="D575">
        <v>3026</v>
      </c>
      <c r="E575">
        <v>4</v>
      </c>
      <c r="F575">
        <v>22</v>
      </c>
      <c r="G575" s="4">
        <v>45600</v>
      </c>
      <c r="H575" s="5">
        <v>55163.89</v>
      </c>
    </row>
    <row r="576" spans="1:8" x14ac:dyDescent="0.3">
      <c r="A576">
        <v>4575</v>
      </c>
      <c r="B576">
        <v>1219</v>
      </c>
      <c r="C576">
        <v>2019</v>
      </c>
      <c r="D576">
        <v>3012</v>
      </c>
      <c r="E576">
        <v>4</v>
      </c>
      <c r="F576">
        <v>7</v>
      </c>
      <c r="G576" s="4">
        <v>45592</v>
      </c>
      <c r="H576" s="5">
        <v>50595.58</v>
      </c>
    </row>
    <row r="577" spans="1:8" x14ac:dyDescent="0.3">
      <c r="A577">
        <v>4576</v>
      </c>
      <c r="B577">
        <v>1249</v>
      </c>
      <c r="C577">
        <v>2020</v>
      </c>
      <c r="D577">
        <v>3028</v>
      </c>
      <c r="E577">
        <v>2</v>
      </c>
      <c r="F577">
        <v>17</v>
      </c>
      <c r="G577" s="4">
        <v>45610</v>
      </c>
      <c r="H577" s="5">
        <v>7428.44</v>
      </c>
    </row>
    <row r="578" spans="1:8" x14ac:dyDescent="0.3">
      <c r="A578">
        <v>4577</v>
      </c>
      <c r="B578">
        <v>1239</v>
      </c>
      <c r="C578">
        <v>2015</v>
      </c>
      <c r="D578">
        <v>3009</v>
      </c>
      <c r="E578">
        <v>2</v>
      </c>
      <c r="F578">
        <v>15</v>
      </c>
      <c r="G578" s="4">
        <v>45587</v>
      </c>
      <c r="H578" s="5">
        <v>29912.720000000001</v>
      </c>
    </row>
    <row r="579" spans="1:8" x14ac:dyDescent="0.3">
      <c r="A579">
        <v>4578</v>
      </c>
      <c r="B579">
        <v>1027</v>
      </c>
      <c r="C579">
        <v>2024</v>
      </c>
      <c r="D579">
        <v>3032</v>
      </c>
      <c r="E579">
        <v>2</v>
      </c>
      <c r="F579">
        <v>19</v>
      </c>
      <c r="G579" s="4">
        <v>45584</v>
      </c>
      <c r="H579" s="5">
        <v>26331.35</v>
      </c>
    </row>
    <row r="580" spans="1:8" x14ac:dyDescent="0.3">
      <c r="A580">
        <v>4579</v>
      </c>
      <c r="B580">
        <v>1125</v>
      </c>
      <c r="C580">
        <v>2010</v>
      </c>
      <c r="D580">
        <v>3032</v>
      </c>
      <c r="E580">
        <v>4</v>
      </c>
      <c r="F580">
        <v>11</v>
      </c>
      <c r="G580" s="4">
        <v>45616</v>
      </c>
      <c r="H580" s="5">
        <v>63799.02</v>
      </c>
    </row>
    <row r="581" spans="1:8" x14ac:dyDescent="0.3">
      <c r="A581">
        <v>4580</v>
      </c>
      <c r="B581">
        <v>1037</v>
      </c>
      <c r="C581">
        <v>2016</v>
      </c>
      <c r="D581">
        <v>3020</v>
      </c>
      <c r="E581">
        <v>3</v>
      </c>
      <c r="F581">
        <v>21</v>
      </c>
      <c r="G581" s="4">
        <v>45616</v>
      </c>
      <c r="H581" s="5">
        <v>28951.11</v>
      </c>
    </row>
    <row r="582" spans="1:8" x14ac:dyDescent="0.3">
      <c r="A582">
        <v>4581</v>
      </c>
      <c r="B582">
        <v>1038</v>
      </c>
      <c r="C582">
        <v>2017</v>
      </c>
      <c r="D582">
        <v>3026</v>
      </c>
      <c r="E582">
        <v>5</v>
      </c>
      <c r="F582">
        <v>7</v>
      </c>
      <c r="G582" s="4">
        <v>45614</v>
      </c>
      <c r="H582" s="5">
        <v>38232.71</v>
      </c>
    </row>
    <row r="583" spans="1:8" x14ac:dyDescent="0.3">
      <c r="A583">
        <v>4582</v>
      </c>
      <c r="B583">
        <v>1136</v>
      </c>
      <c r="C583">
        <v>2011</v>
      </c>
      <c r="D583">
        <v>3009</v>
      </c>
      <c r="E583">
        <v>2</v>
      </c>
      <c r="F583">
        <v>1</v>
      </c>
      <c r="G583" s="4">
        <v>45604</v>
      </c>
      <c r="H583" s="5">
        <v>14864.75</v>
      </c>
    </row>
    <row r="584" spans="1:8" x14ac:dyDescent="0.3">
      <c r="A584">
        <v>4583</v>
      </c>
      <c r="B584">
        <v>1012</v>
      </c>
      <c r="C584">
        <v>2001</v>
      </c>
      <c r="D584">
        <v>3026</v>
      </c>
      <c r="E584">
        <v>5</v>
      </c>
      <c r="F584">
        <v>26</v>
      </c>
      <c r="G584" s="4">
        <v>45577</v>
      </c>
      <c r="H584" s="5">
        <v>26906.23</v>
      </c>
    </row>
    <row r="585" spans="1:8" x14ac:dyDescent="0.3">
      <c r="A585">
        <v>4584</v>
      </c>
      <c r="B585">
        <v>1298</v>
      </c>
      <c r="C585">
        <v>2002</v>
      </c>
      <c r="D585">
        <v>3033</v>
      </c>
      <c r="E585">
        <v>5</v>
      </c>
      <c r="F585">
        <v>1</v>
      </c>
      <c r="G585" s="4">
        <v>45575</v>
      </c>
      <c r="H585" s="5">
        <v>47426.879999999997</v>
      </c>
    </row>
    <row r="586" spans="1:8" x14ac:dyDescent="0.3">
      <c r="A586">
        <v>4585</v>
      </c>
      <c r="B586">
        <v>1095</v>
      </c>
      <c r="C586">
        <v>2008</v>
      </c>
      <c r="D586">
        <v>3004</v>
      </c>
      <c r="E586">
        <v>3</v>
      </c>
      <c r="F586">
        <v>24</v>
      </c>
      <c r="G586" s="4">
        <v>45604</v>
      </c>
      <c r="H586" s="5">
        <v>4848.93</v>
      </c>
    </row>
    <row r="587" spans="1:8" x14ac:dyDescent="0.3">
      <c r="A587">
        <v>4586</v>
      </c>
      <c r="B587">
        <v>1121</v>
      </c>
      <c r="C587">
        <v>2012</v>
      </c>
      <c r="D587">
        <v>3012</v>
      </c>
      <c r="E587">
        <v>1</v>
      </c>
      <c r="F587">
        <v>28</v>
      </c>
      <c r="G587" s="4">
        <v>45613</v>
      </c>
      <c r="H587" s="5">
        <v>8548.99</v>
      </c>
    </row>
    <row r="588" spans="1:8" x14ac:dyDescent="0.3">
      <c r="A588">
        <v>4587</v>
      </c>
      <c r="B588">
        <v>1215</v>
      </c>
      <c r="C588">
        <v>2021</v>
      </c>
      <c r="D588">
        <v>3012</v>
      </c>
      <c r="E588">
        <v>5</v>
      </c>
      <c r="F588">
        <v>13</v>
      </c>
      <c r="G588" s="4">
        <v>45601</v>
      </c>
      <c r="H588" s="5">
        <v>76384.789999999994</v>
      </c>
    </row>
    <row r="589" spans="1:8" x14ac:dyDescent="0.3">
      <c r="A589">
        <v>4588</v>
      </c>
      <c r="B589">
        <v>1281</v>
      </c>
      <c r="C589">
        <v>2017</v>
      </c>
      <c r="D589">
        <v>3021</v>
      </c>
      <c r="E589">
        <v>5</v>
      </c>
      <c r="F589">
        <v>25</v>
      </c>
      <c r="G589" s="4">
        <v>45616</v>
      </c>
      <c r="H589" s="5">
        <v>30775.27</v>
      </c>
    </row>
    <row r="590" spans="1:8" x14ac:dyDescent="0.3">
      <c r="A590">
        <v>4589</v>
      </c>
      <c r="B590">
        <v>1017</v>
      </c>
      <c r="C590">
        <v>2011</v>
      </c>
      <c r="D590">
        <v>3014</v>
      </c>
      <c r="E590">
        <v>2</v>
      </c>
      <c r="F590">
        <v>26</v>
      </c>
      <c r="G590" s="4">
        <v>45594</v>
      </c>
      <c r="H590" s="5">
        <v>11006.05</v>
      </c>
    </row>
    <row r="591" spans="1:8" x14ac:dyDescent="0.3">
      <c r="A591">
        <v>4590</v>
      </c>
      <c r="B591">
        <v>1270</v>
      </c>
      <c r="C591">
        <v>2019</v>
      </c>
      <c r="D591">
        <v>3007</v>
      </c>
      <c r="E591">
        <v>2</v>
      </c>
      <c r="F591">
        <v>10</v>
      </c>
      <c r="G591" s="4">
        <v>45606</v>
      </c>
      <c r="H591" s="5">
        <v>24652.2</v>
      </c>
    </row>
    <row r="592" spans="1:8" x14ac:dyDescent="0.3">
      <c r="A592">
        <v>4591</v>
      </c>
      <c r="B592">
        <v>1196</v>
      </c>
      <c r="C592">
        <v>2010</v>
      </c>
      <c r="D592">
        <v>3013</v>
      </c>
      <c r="E592">
        <v>3</v>
      </c>
      <c r="F592">
        <v>24</v>
      </c>
      <c r="G592" s="4">
        <v>45577</v>
      </c>
      <c r="H592" s="5">
        <v>41101.160000000003</v>
      </c>
    </row>
    <row r="593" spans="1:8" x14ac:dyDescent="0.3">
      <c r="A593">
        <v>4592</v>
      </c>
      <c r="B593">
        <v>1025</v>
      </c>
      <c r="C593">
        <v>2004</v>
      </c>
      <c r="D593">
        <v>3035</v>
      </c>
      <c r="E593">
        <v>3</v>
      </c>
      <c r="F593">
        <v>22</v>
      </c>
      <c r="G593" s="4">
        <v>45613</v>
      </c>
      <c r="H593" s="5">
        <v>11563.91</v>
      </c>
    </row>
    <row r="594" spans="1:8" x14ac:dyDescent="0.3">
      <c r="A594">
        <v>4593</v>
      </c>
      <c r="B594">
        <v>1255</v>
      </c>
      <c r="C594">
        <v>2001</v>
      </c>
      <c r="D594">
        <v>3009</v>
      </c>
      <c r="E594">
        <v>4</v>
      </c>
      <c r="F594">
        <v>24</v>
      </c>
      <c r="G594" s="4">
        <v>45601</v>
      </c>
      <c r="H594" s="5">
        <v>21869.040000000001</v>
      </c>
    </row>
    <row r="595" spans="1:8" x14ac:dyDescent="0.3">
      <c r="A595">
        <v>4594</v>
      </c>
      <c r="B595">
        <v>1238</v>
      </c>
      <c r="C595">
        <v>2019</v>
      </c>
      <c r="D595">
        <v>3022</v>
      </c>
      <c r="E595">
        <v>5</v>
      </c>
      <c r="F595">
        <v>15</v>
      </c>
      <c r="G595" s="4">
        <v>45611</v>
      </c>
      <c r="H595" s="5">
        <v>58198.26</v>
      </c>
    </row>
    <row r="596" spans="1:8" x14ac:dyDescent="0.3">
      <c r="A596">
        <v>4595</v>
      </c>
      <c r="B596">
        <v>1244</v>
      </c>
      <c r="C596">
        <v>2022</v>
      </c>
      <c r="D596">
        <v>3018</v>
      </c>
      <c r="E596">
        <v>3</v>
      </c>
      <c r="F596">
        <v>29</v>
      </c>
      <c r="G596" s="4">
        <v>45600</v>
      </c>
      <c r="H596" s="5">
        <v>36275.279999999999</v>
      </c>
    </row>
    <row r="597" spans="1:8" x14ac:dyDescent="0.3">
      <c r="A597">
        <v>4596</v>
      </c>
      <c r="B597">
        <v>1121</v>
      </c>
      <c r="C597">
        <v>2018</v>
      </c>
      <c r="D597">
        <v>3029</v>
      </c>
      <c r="E597">
        <v>4</v>
      </c>
      <c r="F597">
        <v>23</v>
      </c>
      <c r="G597" s="4">
        <v>45592</v>
      </c>
      <c r="H597" s="5">
        <v>22302.65</v>
      </c>
    </row>
    <row r="598" spans="1:8" x14ac:dyDescent="0.3">
      <c r="A598">
        <v>4597</v>
      </c>
      <c r="B598">
        <v>1201</v>
      </c>
      <c r="C598">
        <v>2014</v>
      </c>
      <c r="D598">
        <v>3025</v>
      </c>
      <c r="E598">
        <v>1</v>
      </c>
      <c r="F598">
        <v>19</v>
      </c>
      <c r="G598" s="4">
        <v>45576</v>
      </c>
      <c r="H598" s="5">
        <v>11264.36</v>
      </c>
    </row>
    <row r="599" spans="1:8" x14ac:dyDescent="0.3">
      <c r="A599">
        <v>4598</v>
      </c>
      <c r="B599">
        <v>1060</v>
      </c>
      <c r="C599">
        <v>2002</v>
      </c>
      <c r="D599">
        <v>3015</v>
      </c>
      <c r="E599">
        <v>4</v>
      </c>
      <c r="F599">
        <v>29</v>
      </c>
      <c r="G599" s="4">
        <v>45581</v>
      </c>
      <c r="H599" s="5">
        <v>26946.9</v>
      </c>
    </row>
    <row r="600" spans="1:8" x14ac:dyDescent="0.3">
      <c r="A600">
        <v>4599</v>
      </c>
      <c r="B600">
        <v>1201</v>
      </c>
      <c r="C600">
        <v>2014</v>
      </c>
      <c r="D600">
        <v>3035</v>
      </c>
      <c r="E600">
        <v>4</v>
      </c>
      <c r="F600">
        <v>14</v>
      </c>
      <c r="G600" s="4">
        <v>45590</v>
      </c>
      <c r="H600" s="5">
        <v>47761.23</v>
      </c>
    </row>
    <row r="601" spans="1:8" x14ac:dyDescent="0.3">
      <c r="A601">
        <v>4600</v>
      </c>
      <c r="B601">
        <v>1225</v>
      </c>
      <c r="C601">
        <v>2006</v>
      </c>
      <c r="D601">
        <v>3016</v>
      </c>
      <c r="E601">
        <v>5</v>
      </c>
      <c r="F601">
        <v>16</v>
      </c>
      <c r="G601" s="4">
        <v>45597</v>
      </c>
      <c r="H601" s="5">
        <v>50465.07</v>
      </c>
    </row>
    <row r="602" spans="1:8" x14ac:dyDescent="0.3">
      <c r="A602">
        <v>4601</v>
      </c>
      <c r="B602">
        <v>1119</v>
      </c>
      <c r="C602">
        <v>2001</v>
      </c>
      <c r="D602">
        <v>3025</v>
      </c>
      <c r="E602">
        <v>3</v>
      </c>
      <c r="F602">
        <v>9</v>
      </c>
      <c r="G602" s="4">
        <v>45577</v>
      </c>
      <c r="H602" s="5">
        <v>19782.310000000001</v>
      </c>
    </row>
    <row r="603" spans="1:8" x14ac:dyDescent="0.3">
      <c r="A603">
        <v>4602</v>
      </c>
      <c r="B603">
        <v>1167</v>
      </c>
      <c r="C603">
        <v>2020</v>
      </c>
      <c r="D603">
        <v>3025</v>
      </c>
      <c r="E603">
        <v>2</v>
      </c>
      <c r="F603">
        <v>18</v>
      </c>
      <c r="G603" s="4">
        <v>45609</v>
      </c>
      <c r="H603" s="5">
        <v>7331.34</v>
      </c>
    </row>
    <row r="604" spans="1:8" x14ac:dyDescent="0.3">
      <c r="A604">
        <v>4603</v>
      </c>
      <c r="B604">
        <v>1026</v>
      </c>
      <c r="C604">
        <v>2005</v>
      </c>
      <c r="D604">
        <v>3015</v>
      </c>
      <c r="E604">
        <v>4</v>
      </c>
      <c r="F604">
        <v>19</v>
      </c>
      <c r="G604" s="4">
        <v>45599</v>
      </c>
      <c r="H604" s="5">
        <v>12352.19</v>
      </c>
    </row>
    <row r="605" spans="1:8" x14ac:dyDescent="0.3">
      <c r="A605">
        <v>4604</v>
      </c>
      <c r="B605">
        <v>1082</v>
      </c>
      <c r="C605">
        <v>2010</v>
      </c>
      <c r="D605">
        <v>3021</v>
      </c>
      <c r="E605">
        <v>1</v>
      </c>
      <c r="F605">
        <v>8</v>
      </c>
      <c r="G605" s="4">
        <v>45590</v>
      </c>
      <c r="H605" s="5">
        <v>16418.97</v>
      </c>
    </row>
    <row r="606" spans="1:8" x14ac:dyDescent="0.3">
      <c r="A606">
        <v>4605</v>
      </c>
      <c r="B606">
        <v>1185</v>
      </c>
      <c r="C606">
        <v>2007</v>
      </c>
      <c r="D606">
        <v>3003</v>
      </c>
      <c r="E606">
        <v>3</v>
      </c>
      <c r="F606">
        <v>19</v>
      </c>
      <c r="G606" s="4">
        <v>45590</v>
      </c>
      <c r="H606" s="5">
        <v>8264.5499999999993</v>
      </c>
    </row>
    <row r="607" spans="1:8" x14ac:dyDescent="0.3">
      <c r="A607">
        <v>4606</v>
      </c>
      <c r="B607">
        <v>1156</v>
      </c>
      <c r="C607">
        <v>2007</v>
      </c>
      <c r="D607">
        <v>3013</v>
      </c>
      <c r="E607">
        <v>1</v>
      </c>
      <c r="F607">
        <v>12</v>
      </c>
      <c r="G607" s="4">
        <v>45588</v>
      </c>
      <c r="H607" s="5">
        <v>2990.62</v>
      </c>
    </row>
    <row r="608" spans="1:8" x14ac:dyDescent="0.3">
      <c r="A608">
        <v>4607</v>
      </c>
      <c r="B608">
        <v>1242</v>
      </c>
      <c r="C608">
        <v>2019</v>
      </c>
      <c r="D608">
        <v>3015</v>
      </c>
      <c r="E608">
        <v>1</v>
      </c>
      <c r="F608">
        <v>22</v>
      </c>
      <c r="G608" s="4">
        <v>45577</v>
      </c>
      <c r="H608" s="5">
        <v>10612.7</v>
      </c>
    </row>
    <row r="609" spans="1:8" x14ac:dyDescent="0.3">
      <c r="A609">
        <v>4608</v>
      </c>
      <c r="B609">
        <v>1177</v>
      </c>
      <c r="C609">
        <v>2004</v>
      </c>
      <c r="D609">
        <v>3013</v>
      </c>
      <c r="E609">
        <v>3</v>
      </c>
      <c r="F609">
        <v>28</v>
      </c>
      <c r="G609" s="4">
        <v>45597</v>
      </c>
      <c r="H609" s="5">
        <v>10702.26</v>
      </c>
    </row>
    <row r="610" spans="1:8" x14ac:dyDescent="0.3">
      <c r="A610">
        <v>4609</v>
      </c>
      <c r="B610">
        <v>1031</v>
      </c>
      <c r="C610">
        <v>2007</v>
      </c>
      <c r="D610">
        <v>3022</v>
      </c>
      <c r="E610">
        <v>5</v>
      </c>
      <c r="F610">
        <v>15</v>
      </c>
      <c r="G610" s="4">
        <v>45577</v>
      </c>
      <c r="H610" s="5">
        <v>14490.76</v>
      </c>
    </row>
    <row r="611" spans="1:8" x14ac:dyDescent="0.3">
      <c r="A611">
        <v>4610</v>
      </c>
      <c r="B611">
        <v>1139</v>
      </c>
      <c r="C611">
        <v>2021</v>
      </c>
      <c r="D611">
        <v>3006</v>
      </c>
      <c r="E611">
        <v>3</v>
      </c>
      <c r="F611">
        <v>26</v>
      </c>
      <c r="G611" s="4">
        <v>45614</v>
      </c>
      <c r="H611" s="5">
        <v>39188.639999999999</v>
      </c>
    </row>
    <row r="612" spans="1:8" x14ac:dyDescent="0.3">
      <c r="A612">
        <v>4611</v>
      </c>
      <c r="B612">
        <v>1223</v>
      </c>
      <c r="C612">
        <v>2009</v>
      </c>
      <c r="D612">
        <v>3013</v>
      </c>
      <c r="E612">
        <v>4</v>
      </c>
      <c r="F612">
        <v>26</v>
      </c>
      <c r="G612" s="4">
        <v>45581</v>
      </c>
      <c r="H612" s="5">
        <v>32844.94</v>
      </c>
    </row>
    <row r="613" spans="1:8" x14ac:dyDescent="0.3">
      <c r="A613">
        <v>4612</v>
      </c>
      <c r="B613">
        <v>1229</v>
      </c>
      <c r="C613">
        <v>2021</v>
      </c>
      <c r="D613">
        <v>3008</v>
      </c>
      <c r="E613">
        <v>2</v>
      </c>
      <c r="F613">
        <v>9</v>
      </c>
      <c r="G613" s="4">
        <v>45611</v>
      </c>
      <c r="H613" s="5">
        <v>31960.799999999999</v>
      </c>
    </row>
    <row r="614" spans="1:8" x14ac:dyDescent="0.3">
      <c r="A614">
        <v>4613</v>
      </c>
      <c r="B614">
        <v>1034</v>
      </c>
      <c r="C614">
        <v>2002</v>
      </c>
      <c r="D614">
        <v>3009</v>
      </c>
      <c r="E614">
        <v>2</v>
      </c>
      <c r="F614">
        <v>3</v>
      </c>
      <c r="G614" s="4">
        <v>45594</v>
      </c>
      <c r="H614" s="5">
        <v>18461.64</v>
      </c>
    </row>
    <row r="615" spans="1:8" x14ac:dyDescent="0.3">
      <c r="A615">
        <v>4614</v>
      </c>
      <c r="B615">
        <v>1029</v>
      </c>
      <c r="C615">
        <v>2019</v>
      </c>
      <c r="D615">
        <v>3007</v>
      </c>
      <c r="E615">
        <v>2</v>
      </c>
      <c r="F615">
        <v>19</v>
      </c>
      <c r="G615" s="4">
        <v>45600</v>
      </c>
      <c r="H615" s="5">
        <v>22012.639999999999</v>
      </c>
    </row>
    <row r="616" spans="1:8" x14ac:dyDescent="0.3">
      <c r="A616">
        <v>4615</v>
      </c>
      <c r="B616">
        <v>1021</v>
      </c>
      <c r="C616">
        <v>2014</v>
      </c>
      <c r="D616">
        <v>3023</v>
      </c>
      <c r="E616">
        <v>5</v>
      </c>
      <c r="F616">
        <v>4</v>
      </c>
      <c r="G616" s="4">
        <v>45588</v>
      </c>
      <c r="H616" s="5">
        <v>66502.45</v>
      </c>
    </row>
    <row r="617" spans="1:8" x14ac:dyDescent="0.3">
      <c r="A617">
        <v>4616</v>
      </c>
      <c r="B617">
        <v>1018</v>
      </c>
      <c r="C617">
        <v>2010</v>
      </c>
      <c r="D617">
        <v>3034</v>
      </c>
      <c r="E617">
        <v>5</v>
      </c>
      <c r="F617">
        <v>28</v>
      </c>
      <c r="G617" s="4">
        <v>45597</v>
      </c>
      <c r="H617" s="5">
        <v>64123.17</v>
      </c>
    </row>
    <row r="618" spans="1:8" x14ac:dyDescent="0.3">
      <c r="A618">
        <v>4617</v>
      </c>
      <c r="B618">
        <v>1138</v>
      </c>
      <c r="C618">
        <v>2005</v>
      </c>
      <c r="D618">
        <v>3017</v>
      </c>
      <c r="E618">
        <v>3</v>
      </c>
      <c r="F618">
        <v>26</v>
      </c>
      <c r="G618" s="4">
        <v>45592</v>
      </c>
      <c r="H618" s="5">
        <v>8455.67</v>
      </c>
    </row>
    <row r="619" spans="1:8" x14ac:dyDescent="0.3">
      <c r="A619">
        <v>4618</v>
      </c>
      <c r="B619">
        <v>1170</v>
      </c>
      <c r="C619">
        <v>2001</v>
      </c>
      <c r="D619">
        <v>3027</v>
      </c>
      <c r="E619">
        <v>4</v>
      </c>
      <c r="F619">
        <v>23</v>
      </c>
      <c r="G619" s="4">
        <v>45613</v>
      </c>
      <c r="H619" s="5">
        <v>22377.89</v>
      </c>
    </row>
    <row r="620" spans="1:8" x14ac:dyDescent="0.3">
      <c r="A620">
        <v>4619</v>
      </c>
      <c r="B620">
        <v>1176</v>
      </c>
      <c r="C620">
        <v>2020</v>
      </c>
      <c r="D620">
        <v>3001</v>
      </c>
      <c r="E620">
        <v>1</v>
      </c>
      <c r="F620">
        <v>2</v>
      </c>
      <c r="G620" s="4">
        <v>45602</v>
      </c>
      <c r="H620" s="5">
        <v>4384.87</v>
      </c>
    </row>
    <row r="621" spans="1:8" x14ac:dyDescent="0.3">
      <c r="A621">
        <v>4620</v>
      </c>
      <c r="B621">
        <v>1076</v>
      </c>
      <c r="C621">
        <v>2014</v>
      </c>
      <c r="D621">
        <v>3021</v>
      </c>
      <c r="E621">
        <v>4</v>
      </c>
      <c r="F621">
        <v>24</v>
      </c>
      <c r="G621" s="4">
        <v>45575</v>
      </c>
      <c r="H621" s="5">
        <v>42121.45</v>
      </c>
    </row>
    <row r="622" spans="1:8" x14ac:dyDescent="0.3">
      <c r="A622">
        <v>4621</v>
      </c>
      <c r="B622">
        <v>1174</v>
      </c>
      <c r="C622">
        <v>2003</v>
      </c>
      <c r="D622">
        <v>3013</v>
      </c>
      <c r="E622">
        <v>5</v>
      </c>
      <c r="F622">
        <v>1</v>
      </c>
      <c r="G622" s="4">
        <v>45580</v>
      </c>
      <c r="H622" s="5">
        <v>65549.570000000007</v>
      </c>
    </row>
    <row r="623" spans="1:8" x14ac:dyDescent="0.3">
      <c r="A623">
        <v>4622</v>
      </c>
      <c r="B623">
        <v>1162</v>
      </c>
      <c r="C623">
        <v>2006</v>
      </c>
      <c r="D623">
        <v>3020</v>
      </c>
      <c r="E623">
        <v>1</v>
      </c>
      <c r="F623">
        <v>8</v>
      </c>
      <c r="G623" s="4">
        <v>45589</v>
      </c>
      <c r="H623" s="5">
        <v>11077.11</v>
      </c>
    </row>
    <row r="624" spans="1:8" x14ac:dyDescent="0.3">
      <c r="A624">
        <v>4623</v>
      </c>
      <c r="B624">
        <v>1286</v>
      </c>
      <c r="C624">
        <v>2008</v>
      </c>
      <c r="D624">
        <v>3023</v>
      </c>
      <c r="E624">
        <v>5</v>
      </c>
      <c r="F624">
        <v>21</v>
      </c>
      <c r="G624" s="4">
        <v>45594</v>
      </c>
      <c r="H624" s="5">
        <v>8405.16</v>
      </c>
    </row>
    <row r="625" spans="1:8" x14ac:dyDescent="0.3">
      <c r="A625">
        <v>4624</v>
      </c>
      <c r="B625">
        <v>1021</v>
      </c>
      <c r="C625">
        <v>2015</v>
      </c>
      <c r="D625">
        <v>3002</v>
      </c>
      <c r="E625">
        <v>3</v>
      </c>
      <c r="F625">
        <v>25</v>
      </c>
      <c r="G625" s="4">
        <v>45580</v>
      </c>
      <c r="H625" s="5">
        <v>39851.94</v>
      </c>
    </row>
    <row r="626" spans="1:8" x14ac:dyDescent="0.3">
      <c r="A626">
        <v>4625</v>
      </c>
      <c r="B626">
        <v>1208</v>
      </c>
      <c r="C626">
        <v>2006</v>
      </c>
      <c r="D626">
        <v>3031</v>
      </c>
      <c r="E626">
        <v>5</v>
      </c>
      <c r="F626">
        <v>11</v>
      </c>
      <c r="G626" s="4">
        <v>45602</v>
      </c>
      <c r="H626" s="5">
        <v>53624.79</v>
      </c>
    </row>
    <row r="627" spans="1:8" x14ac:dyDescent="0.3">
      <c r="A627">
        <v>4626</v>
      </c>
      <c r="B627">
        <v>1169</v>
      </c>
      <c r="C627">
        <v>2021</v>
      </c>
      <c r="D627">
        <v>3002</v>
      </c>
      <c r="E627">
        <v>5</v>
      </c>
      <c r="F627">
        <v>5</v>
      </c>
      <c r="G627" s="4">
        <v>45581</v>
      </c>
      <c r="H627" s="5">
        <v>83225.740000000005</v>
      </c>
    </row>
    <row r="628" spans="1:8" x14ac:dyDescent="0.3">
      <c r="A628">
        <v>4627</v>
      </c>
      <c r="B628">
        <v>1143</v>
      </c>
      <c r="C628">
        <v>2008</v>
      </c>
      <c r="D628">
        <v>3029</v>
      </c>
      <c r="E628">
        <v>4</v>
      </c>
      <c r="F628">
        <v>3</v>
      </c>
      <c r="G628" s="4">
        <v>45599</v>
      </c>
      <c r="H628" s="5">
        <v>8277.43</v>
      </c>
    </row>
    <row r="629" spans="1:8" x14ac:dyDescent="0.3">
      <c r="A629">
        <v>4628</v>
      </c>
      <c r="B629">
        <v>1224</v>
      </c>
      <c r="C629">
        <v>2016</v>
      </c>
      <c r="D629">
        <v>3035</v>
      </c>
      <c r="E629">
        <v>3</v>
      </c>
      <c r="F629">
        <v>8</v>
      </c>
      <c r="G629" s="4">
        <v>45585</v>
      </c>
      <c r="H629" s="5">
        <v>33754.870000000003</v>
      </c>
    </row>
    <row r="630" spans="1:8" x14ac:dyDescent="0.3">
      <c r="A630">
        <v>4629</v>
      </c>
      <c r="B630">
        <v>1279</v>
      </c>
      <c r="C630">
        <v>2020</v>
      </c>
      <c r="D630">
        <v>3034</v>
      </c>
      <c r="E630">
        <v>5</v>
      </c>
      <c r="F630">
        <v>15</v>
      </c>
      <c r="G630" s="4">
        <v>45575</v>
      </c>
      <c r="H630" s="5">
        <v>19195.900000000001</v>
      </c>
    </row>
    <row r="631" spans="1:8" x14ac:dyDescent="0.3">
      <c r="A631">
        <v>4630</v>
      </c>
      <c r="B631">
        <v>1264</v>
      </c>
      <c r="C631">
        <v>2019</v>
      </c>
      <c r="D631">
        <v>3002</v>
      </c>
      <c r="E631">
        <v>5</v>
      </c>
      <c r="F631">
        <v>26</v>
      </c>
      <c r="G631" s="4">
        <v>45605</v>
      </c>
      <c r="H631" s="5">
        <v>50700.45</v>
      </c>
    </row>
    <row r="632" spans="1:8" x14ac:dyDescent="0.3">
      <c r="A632">
        <v>4631</v>
      </c>
      <c r="B632">
        <v>1295</v>
      </c>
      <c r="C632">
        <v>2011</v>
      </c>
      <c r="D632">
        <v>3030</v>
      </c>
      <c r="E632">
        <v>2</v>
      </c>
      <c r="F632">
        <v>8</v>
      </c>
      <c r="G632" s="4">
        <v>45576</v>
      </c>
      <c r="H632" s="5">
        <v>13760.55</v>
      </c>
    </row>
    <row r="633" spans="1:8" x14ac:dyDescent="0.3">
      <c r="A633">
        <v>4632</v>
      </c>
      <c r="B633">
        <v>1272</v>
      </c>
      <c r="C633">
        <v>2003</v>
      </c>
      <c r="D633">
        <v>3001</v>
      </c>
      <c r="E633">
        <v>1</v>
      </c>
      <c r="F633">
        <v>3</v>
      </c>
      <c r="G633" s="4">
        <v>45591</v>
      </c>
      <c r="H633" s="5">
        <v>12884.82</v>
      </c>
    </row>
    <row r="634" spans="1:8" x14ac:dyDescent="0.3">
      <c r="A634">
        <v>4633</v>
      </c>
      <c r="B634">
        <v>1220</v>
      </c>
      <c r="C634">
        <v>2018</v>
      </c>
      <c r="D634">
        <v>3026</v>
      </c>
      <c r="E634">
        <v>4</v>
      </c>
      <c r="F634">
        <v>8</v>
      </c>
      <c r="G634" s="4">
        <v>45609</v>
      </c>
      <c r="H634" s="5">
        <v>26712.18</v>
      </c>
    </row>
    <row r="635" spans="1:8" x14ac:dyDescent="0.3">
      <c r="A635">
        <v>4634</v>
      </c>
      <c r="B635">
        <v>1171</v>
      </c>
      <c r="C635">
        <v>2020</v>
      </c>
      <c r="D635">
        <v>3026</v>
      </c>
      <c r="E635">
        <v>4</v>
      </c>
      <c r="F635">
        <v>5</v>
      </c>
      <c r="G635" s="4">
        <v>45589</v>
      </c>
      <c r="H635" s="5">
        <v>17075.61</v>
      </c>
    </row>
    <row r="636" spans="1:8" x14ac:dyDescent="0.3">
      <c r="A636">
        <v>4635</v>
      </c>
      <c r="B636">
        <v>1028</v>
      </c>
      <c r="C636">
        <v>2015</v>
      </c>
      <c r="D636">
        <v>3022</v>
      </c>
      <c r="E636">
        <v>2</v>
      </c>
      <c r="F636">
        <v>20</v>
      </c>
      <c r="G636" s="4">
        <v>45606</v>
      </c>
      <c r="H636" s="5">
        <v>28117.11</v>
      </c>
    </row>
    <row r="637" spans="1:8" x14ac:dyDescent="0.3">
      <c r="A637">
        <v>4636</v>
      </c>
      <c r="B637">
        <v>1110</v>
      </c>
      <c r="C637">
        <v>2017</v>
      </c>
      <c r="D637">
        <v>3030</v>
      </c>
      <c r="E637">
        <v>2</v>
      </c>
      <c r="F637">
        <v>14</v>
      </c>
      <c r="G637" s="4">
        <v>45603</v>
      </c>
      <c r="H637" s="5">
        <v>14019.34</v>
      </c>
    </row>
    <row r="638" spans="1:8" x14ac:dyDescent="0.3">
      <c r="A638">
        <v>4637</v>
      </c>
      <c r="B638">
        <v>1011</v>
      </c>
      <c r="C638">
        <v>2014</v>
      </c>
      <c r="D638">
        <v>3034</v>
      </c>
      <c r="E638">
        <v>2</v>
      </c>
      <c r="F638">
        <v>4</v>
      </c>
      <c r="G638" s="4">
        <v>45583</v>
      </c>
      <c r="H638" s="5">
        <v>26595.45</v>
      </c>
    </row>
    <row r="639" spans="1:8" x14ac:dyDescent="0.3">
      <c r="A639">
        <v>4638</v>
      </c>
      <c r="B639">
        <v>1030</v>
      </c>
      <c r="C639">
        <v>2017</v>
      </c>
      <c r="D639">
        <v>3014</v>
      </c>
      <c r="E639">
        <v>1</v>
      </c>
      <c r="F639">
        <v>29</v>
      </c>
      <c r="G639" s="4">
        <v>45609</v>
      </c>
      <c r="H639" s="5">
        <v>5852.99</v>
      </c>
    </row>
    <row r="640" spans="1:8" x14ac:dyDescent="0.3">
      <c r="A640">
        <v>4639</v>
      </c>
      <c r="B640">
        <v>1271</v>
      </c>
      <c r="C640">
        <v>2013</v>
      </c>
      <c r="D640">
        <v>3022</v>
      </c>
      <c r="E640">
        <v>1</v>
      </c>
      <c r="F640">
        <v>10</v>
      </c>
      <c r="G640" s="4">
        <v>45603</v>
      </c>
      <c r="H640" s="5">
        <v>10699.59</v>
      </c>
    </row>
    <row r="641" spans="1:8" x14ac:dyDescent="0.3">
      <c r="A641">
        <v>4640</v>
      </c>
      <c r="B641">
        <v>1151</v>
      </c>
      <c r="C641">
        <v>2021</v>
      </c>
      <c r="D641">
        <v>3003</v>
      </c>
      <c r="E641">
        <v>1</v>
      </c>
      <c r="F641">
        <v>10</v>
      </c>
      <c r="G641" s="4">
        <v>45600</v>
      </c>
      <c r="H641" s="5">
        <v>15820.37</v>
      </c>
    </row>
    <row r="642" spans="1:8" x14ac:dyDescent="0.3">
      <c r="A642">
        <v>4641</v>
      </c>
      <c r="B642">
        <v>1255</v>
      </c>
      <c r="C642">
        <v>2008</v>
      </c>
      <c r="D642">
        <v>3002</v>
      </c>
      <c r="E642">
        <v>3</v>
      </c>
      <c r="F642">
        <v>0</v>
      </c>
      <c r="G642" s="4">
        <v>45585</v>
      </c>
      <c r="H642" s="5">
        <v>6405.44</v>
      </c>
    </row>
    <row r="643" spans="1:8" x14ac:dyDescent="0.3">
      <c r="A643">
        <v>4642</v>
      </c>
      <c r="B643">
        <v>1222</v>
      </c>
      <c r="C643">
        <v>2011</v>
      </c>
      <c r="D643">
        <v>3026</v>
      </c>
      <c r="E643">
        <v>5</v>
      </c>
      <c r="F643">
        <v>8</v>
      </c>
      <c r="G643" s="4">
        <v>45603</v>
      </c>
      <c r="H643" s="5">
        <v>34491.15</v>
      </c>
    </row>
    <row r="644" spans="1:8" x14ac:dyDescent="0.3">
      <c r="A644">
        <v>4643</v>
      </c>
      <c r="B644">
        <v>1012</v>
      </c>
      <c r="C644">
        <v>2018</v>
      </c>
      <c r="D644">
        <v>3027</v>
      </c>
      <c r="E644">
        <v>4</v>
      </c>
      <c r="F644">
        <v>18</v>
      </c>
      <c r="G644" s="4">
        <v>45607</v>
      </c>
      <c r="H644" s="5">
        <v>23710.68</v>
      </c>
    </row>
    <row r="645" spans="1:8" x14ac:dyDescent="0.3">
      <c r="A645">
        <v>4644</v>
      </c>
      <c r="B645">
        <v>1166</v>
      </c>
      <c r="C645">
        <v>2010</v>
      </c>
      <c r="D645">
        <v>3004</v>
      </c>
      <c r="E645">
        <v>4</v>
      </c>
      <c r="F645">
        <v>26</v>
      </c>
      <c r="G645" s="4">
        <v>45578</v>
      </c>
      <c r="H645" s="5">
        <v>53268.53</v>
      </c>
    </row>
    <row r="646" spans="1:8" x14ac:dyDescent="0.3">
      <c r="A646">
        <v>4645</v>
      </c>
      <c r="B646">
        <v>1038</v>
      </c>
      <c r="C646">
        <v>2012</v>
      </c>
      <c r="D646">
        <v>3016</v>
      </c>
      <c r="E646">
        <v>2</v>
      </c>
      <c r="F646">
        <v>6</v>
      </c>
      <c r="G646" s="4">
        <v>45584</v>
      </c>
      <c r="H646" s="5">
        <v>22321.83</v>
      </c>
    </row>
    <row r="647" spans="1:8" x14ac:dyDescent="0.3">
      <c r="A647">
        <v>4646</v>
      </c>
      <c r="B647">
        <v>1034</v>
      </c>
      <c r="C647">
        <v>2004</v>
      </c>
      <c r="D647">
        <v>3012</v>
      </c>
      <c r="E647">
        <v>5</v>
      </c>
      <c r="F647">
        <v>8</v>
      </c>
      <c r="G647" s="4">
        <v>45597</v>
      </c>
      <c r="H647" s="5">
        <v>22900.52</v>
      </c>
    </row>
    <row r="648" spans="1:8" x14ac:dyDescent="0.3">
      <c r="A648">
        <v>4647</v>
      </c>
      <c r="B648">
        <v>1094</v>
      </c>
      <c r="C648">
        <v>2023</v>
      </c>
      <c r="D648">
        <v>3014</v>
      </c>
      <c r="E648">
        <v>3</v>
      </c>
      <c r="F648">
        <v>16</v>
      </c>
      <c r="G648" s="4">
        <v>45593</v>
      </c>
      <c r="H648" s="5">
        <v>12141.28</v>
      </c>
    </row>
    <row r="649" spans="1:8" x14ac:dyDescent="0.3">
      <c r="A649">
        <v>4648</v>
      </c>
      <c r="B649">
        <v>1075</v>
      </c>
      <c r="C649">
        <v>2006</v>
      </c>
      <c r="D649">
        <v>3019</v>
      </c>
      <c r="E649">
        <v>1</v>
      </c>
      <c r="F649">
        <v>24</v>
      </c>
      <c r="G649" s="4">
        <v>45603</v>
      </c>
      <c r="H649" s="5">
        <v>9155.9500000000007</v>
      </c>
    </row>
    <row r="650" spans="1:8" x14ac:dyDescent="0.3">
      <c r="A650">
        <v>4649</v>
      </c>
      <c r="B650">
        <v>1031</v>
      </c>
      <c r="C650">
        <v>2019</v>
      </c>
      <c r="D650">
        <v>3018</v>
      </c>
      <c r="E650">
        <v>4</v>
      </c>
      <c r="F650">
        <v>3</v>
      </c>
      <c r="G650" s="4">
        <v>45595</v>
      </c>
      <c r="H650" s="5">
        <v>52954.559999999998</v>
      </c>
    </row>
    <row r="651" spans="1:8" x14ac:dyDescent="0.3">
      <c r="A651">
        <v>4650</v>
      </c>
      <c r="B651">
        <v>1067</v>
      </c>
      <c r="C651">
        <v>2005</v>
      </c>
      <c r="D651">
        <v>3001</v>
      </c>
      <c r="E651">
        <v>1</v>
      </c>
      <c r="F651">
        <v>6</v>
      </c>
      <c r="G651" s="4">
        <v>45581</v>
      </c>
      <c r="H651" s="5">
        <v>3592.96</v>
      </c>
    </row>
    <row r="652" spans="1:8" x14ac:dyDescent="0.3">
      <c r="A652">
        <v>4651</v>
      </c>
      <c r="B652">
        <v>1295</v>
      </c>
      <c r="C652">
        <v>2024</v>
      </c>
      <c r="D652">
        <v>3029</v>
      </c>
      <c r="E652">
        <v>3</v>
      </c>
      <c r="F652">
        <v>2</v>
      </c>
      <c r="G652" s="4">
        <v>45607</v>
      </c>
      <c r="H652" s="5">
        <v>47859.21</v>
      </c>
    </row>
    <row r="653" spans="1:8" x14ac:dyDescent="0.3">
      <c r="A653">
        <v>4652</v>
      </c>
      <c r="B653">
        <v>1142</v>
      </c>
      <c r="C653">
        <v>2002</v>
      </c>
      <c r="D653">
        <v>3014</v>
      </c>
      <c r="E653">
        <v>3</v>
      </c>
      <c r="F653">
        <v>9</v>
      </c>
      <c r="G653" s="4">
        <v>45613</v>
      </c>
      <c r="H653" s="5">
        <v>25904.83</v>
      </c>
    </row>
    <row r="654" spans="1:8" x14ac:dyDescent="0.3">
      <c r="A654">
        <v>4653</v>
      </c>
      <c r="B654">
        <v>1004</v>
      </c>
      <c r="C654">
        <v>2018</v>
      </c>
      <c r="D654">
        <v>3034</v>
      </c>
      <c r="E654">
        <v>3</v>
      </c>
      <c r="F654">
        <v>11</v>
      </c>
      <c r="G654" s="4">
        <v>45594</v>
      </c>
      <c r="H654" s="5">
        <v>19388.79</v>
      </c>
    </row>
    <row r="655" spans="1:8" x14ac:dyDescent="0.3">
      <c r="A655">
        <v>4654</v>
      </c>
      <c r="B655">
        <v>1215</v>
      </c>
      <c r="C655">
        <v>2003</v>
      </c>
      <c r="D655">
        <v>3018</v>
      </c>
      <c r="E655">
        <v>4</v>
      </c>
      <c r="F655">
        <v>17</v>
      </c>
      <c r="G655" s="4">
        <v>45604</v>
      </c>
      <c r="H655" s="5">
        <v>43938.93</v>
      </c>
    </row>
    <row r="656" spans="1:8" x14ac:dyDescent="0.3">
      <c r="A656">
        <v>4655</v>
      </c>
      <c r="B656">
        <v>1281</v>
      </c>
      <c r="C656">
        <v>2025</v>
      </c>
      <c r="D656">
        <v>3031</v>
      </c>
      <c r="E656">
        <v>3</v>
      </c>
      <c r="F656">
        <v>23</v>
      </c>
      <c r="G656" s="4">
        <v>45585</v>
      </c>
      <c r="H656" s="5">
        <v>39170.93</v>
      </c>
    </row>
    <row r="657" spans="1:8" x14ac:dyDescent="0.3">
      <c r="A657">
        <v>4656</v>
      </c>
      <c r="B657">
        <v>1003</v>
      </c>
      <c r="C657">
        <v>2016</v>
      </c>
      <c r="D657">
        <v>3014</v>
      </c>
      <c r="E657">
        <v>4</v>
      </c>
      <c r="F657">
        <v>21</v>
      </c>
      <c r="G657" s="4">
        <v>45598</v>
      </c>
      <c r="H657" s="5">
        <v>38772.86</v>
      </c>
    </row>
    <row r="658" spans="1:8" x14ac:dyDescent="0.3">
      <c r="A658">
        <v>4657</v>
      </c>
      <c r="B658">
        <v>1005</v>
      </c>
      <c r="C658">
        <v>2007</v>
      </c>
      <c r="D658">
        <v>3002</v>
      </c>
      <c r="E658">
        <v>5</v>
      </c>
      <c r="F658">
        <v>21</v>
      </c>
      <c r="G658" s="4">
        <v>45577</v>
      </c>
      <c r="H658" s="5">
        <v>13484.22</v>
      </c>
    </row>
    <row r="659" spans="1:8" x14ac:dyDescent="0.3">
      <c r="A659">
        <v>4658</v>
      </c>
      <c r="B659">
        <v>1231</v>
      </c>
      <c r="C659">
        <v>2004</v>
      </c>
      <c r="D659">
        <v>3021</v>
      </c>
      <c r="E659">
        <v>4</v>
      </c>
      <c r="F659">
        <v>22</v>
      </c>
      <c r="G659" s="4">
        <v>45603</v>
      </c>
      <c r="H659" s="5">
        <v>15394.78</v>
      </c>
    </row>
    <row r="660" spans="1:8" x14ac:dyDescent="0.3">
      <c r="A660">
        <v>4659</v>
      </c>
      <c r="B660">
        <v>1146</v>
      </c>
      <c r="C660">
        <v>2015</v>
      </c>
      <c r="D660">
        <v>3027</v>
      </c>
      <c r="E660">
        <v>1</v>
      </c>
      <c r="F660">
        <v>8</v>
      </c>
      <c r="G660" s="4">
        <v>45593</v>
      </c>
      <c r="H660" s="5">
        <v>16135.83</v>
      </c>
    </row>
    <row r="661" spans="1:8" x14ac:dyDescent="0.3">
      <c r="A661">
        <v>4660</v>
      </c>
      <c r="B661">
        <v>1291</v>
      </c>
      <c r="C661">
        <v>2024</v>
      </c>
      <c r="D661">
        <v>3035</v>
      </c>
      <c r="E661">
        <v>1</v>
      </c>
      <c r="F661">
        <v>17</v>
      </c>
      <c r="G661" s="4">
        <v>45600</v>
      </c>
      <c r="H661" s="5">
        <v>13556.2</v>
      </c>
    </row>
    <row r="662" spans="1:8" x14ac:dyDescent="0.3">
      <c r="A662">
        <v>4661</v>
      </c>
      <c r="B662">
        <v>1087</v>
      </c>
      <c r="C662">
        <v>2004</v>
      </c>
      <c r="D662">
        <v>3021</v>
      </c>
      <c r="E662">
        <v>2</v>
      </c>
      <c r="F662">
        <v>17</v>
      </c>
      <c r="G662" s="4">
        <v>45590</v>
      </c>
      <c r="H662" s="5">
        <v>8230.2199999999993</v>
      </c>
    </row>
    <row r="663" spans="1:8" x14ac:dyDescent="0.3">
      <c r="A663">
        <v>4662</v>
      </c>
      <c r="B663">
        <v>1035</v>
      </c>
      <c r="C663">
        <v>2006</v>
      </c>
      <c r="D663">
        <v>3009</v>
      </c>
      <c r="E663">
        <v>4</v>
      </c>
      <c r="F663">
        <v>11</v>
      </c>
      <c r="G663" s="4">
        <v>45585</v>
      </c>
      <c r="H663" s="5">
        <v>42740.639999999999</v>
      </c>
    </row>
    <row r="664" spans="1:8" x14ac:dyDescent="0.3">
      <c r="A664">
        <v>4663</v>
      </c>
      <c r="B664">
        <v>1120</v>
      </c>
      <c r="C664">
        <v>2023</v>
      </c>
      <c r="D664">
        <v>3013</v>
      </c>
      <c r="E664">
        <v>4</v>
      </c>
      <c r="F664">
        <v>2</v>
      </c>
      <c r="G664" s="4">
        <v>45615</v>
      </c>
      <c r="H664" s="5">
        <v>18719.61</v>
      </c>
    </row>
    <row r="665" spans="1:8" x14ac:dyDescent="0.3">
      <c r="A665">
        <v>4664</v>
      </c>
      <c r="B665">
        <v>1169</v>
      </c>
      <c r="C665">
        <v>2005</v>
      </c>
      <c r="D665">
        <v>3008</v>
      </c>
      <c r="E665">
        <v>3</v>
      </c>
      <c r="F665">
        <v>11</v>
      </c>
      <c r="G665" s="4">
        <v>45589</v>
      </c>
      <c r="H665" s="5">
        <v>10218.459999999999</v>
      </c>
    </row>
    <row r="666" spans="1:8" x14ac:dyDescent="0.3">
      <c r="A666">
        <v>4665</v>
      </c>
      <c r="B666">
        <v>1287</v>
      </c>
      <c r="C666">
        <v>2019</v>
      </c>
      <c r="D666">
        <v>3001</v>
      </c>
      <c r="E666">
        <v>5</v>
      </c>
      <c r="F666">
        <v>12</v>
      </c>
      <c r="G666" s="4">
        <v>45598</v>
      </c>
      <c r="H666" s="5">
        <v>60145.919999999998</v>
      </c>
    </row>
    <row r="667" spans="1:8" x14ac:dyDescent="0.3">
      <c r="A667">
        <v>4666</v>
      </c>
      <c r="B667">
        <v>1115</v>
      </c>
      <c r="C667">
        <v>2007</v>
      </c>
      <c r="D667">
        <v>3012</v>
      </c>
      <c r="E667">
        <v>4</v>
      </c>
      <c r="F667">
        <v>15</v>
      </c>
      <c r="G667" s="4">
        <v>45613</v>
      </c>
      <c r="H667" s="5">
        <v>11659.49</v>
      </c>
    </row>
    <row r="668" spans="1:8" x14ac:dyDescent="0.3">
      <c r="A668">
        <v>4667</v>
      </c>
      <c r="B668">
        <v>1143</v>
      </c>
      <c r="C668">
        <v>2004</v>
      </c>
      <c r="D668">
        <v>3001</v>
      </c>
      <c r="E668">
        <v>1</v>
      </c>
      <c r="F668">
        <v>18</v>
      </c>
      <c r="G668" s="4">
        <v>45604</v>
      </c>
      <c r="H668" s="5">
        <v>4036.38</v>
      </c>
    </row>
    <row r="669" spans="1:8" x14ac:dyDescent="0.3">
      <c r="A669">
        <v>4668</v>
      </c>
      <c r="B669">
        <v>1105</v>
      </c>
      <c r="C669">
        <v>2001</v>
      </c>
      <c r="D669">
        <v>3031</v>
      </c>
      <c r="E669">
        <v>5</v>
      </c>
      <c r="F669">
        <v>20</v>
      </c>
      <c r="G669" s="4">
        <v>45581</v>
      </c>
      <c r="H669" s="5">
        <v>28756.6</v>
      </c>
    </row>
    <row r="670" spans="1:8" x14ac:dyDescent="0.3">
      <c r="A670">
        <v>4669</v>
      </c>
      <c r="B670">
        <v>1138</v>
      </c>
      <c r="C670">
        <v>2012</v>
      </c>
      <c r="D670">
        <v>3007</v>
      </c>
      <c r="E670">
        <v>4</v>
      </c>
      <c r="F670">
        <v>23</v>
      </c>
      <c r="G670" s="4">
        <v>45610</v>
      </c>
      <c r="H670" s="5">
        <v>36735.49</v>
      </c>
    </row>
    <row r="671" spans="1:8" x14ac:dyDescent="0.3">
      <c r="A671">
        <v>4670</v>
      </c>
      <c r="B671">
        <v>1245</v>
      </c>
      <c r="C671">
        <v>2021</v>
      </c>
      <c r="D671">
        <v>3023</v>
      </c>
      <c r="E671">
        <v>5</v>
      </c>
      <c r="F671">
        <v>26</v>
      </c>
      <c r="G671" s="4">
        <v>45590</v>
      </c>
      <c r="H671" s="5">
        <v>65437.51</v>
      </c>
    </row>
    <row r="672" spans="1:8" x14ac:dyDescent="0.3">
      <c r="A672">
        <v>4671</v>
      </c>
      <c r="B672">
        <v>1055</v>
      </c>
      <c r="C672">
        <v>2024</v>
      </c>
      <c r="D672">
        <v>3020</v>
      </c>
      <c r="E672">
        <v>1</v>
      </c>
      <c r="F672">
        <v>25</v>
      </c>
      <c r="G672" s="4">
        <v>45578</v>
      </c>
      <c r="H672" s="5">
        <v>12280.48</v>
      </c>
    </row>
    <row r="673" spans="1:8" x14ac:dyDescent="0.3">
      <c r="A673">
        <v>4672</v>
      </c>
      <c r="B673">
        <v>1081</v>
      </c>
      <c r="C673">
        <v>2016</v>
      </c>
      <c r="D673">
        <v>3007</v>
      </c>
      <c r="E673">
        <v>4</v>
      </c>
      <c r="F673">
        <v>24</v>
      </c>
      <c r="G673" s="4">
        <v>45592</v>
      </c>
      <c r="H673" s="5">
        <v>37019.81</v>
      </c>
    </row>
    <row r="674" spans="1:8" x14ac:dyDescent="0.3">
      <c r="A674">
        <v>4673</v>
      </c>
      <c r="B674">
        <v>1090</v>
      </c>
      <c r="C674">
        <v>2023</v>
      </c>
      <c r="D674">
        <v>3032</v>
      </c>
      <c r="E674">
        <v>2</v>
      </c>
      <c r="F674">
        <v>15</v>
      </c>
      <c r="G674" s="4">
        <v>45597</v>
      </c>
      <c r="H674" s="5">
        <v>8164.18</v>
      </c>
    </row>
    <row r="675" spans="1:8" x14ac:dyDescent="0.3">
      <c r="A675">
        <v>4674</v>
      </c>
      <c r="B675">
        <v>1258</v>
      </c>
      <c r="C675">
        <v>2006</v>
      </c>
      <c r="D675">
        <v>3009</v>
      </c>
      <c r="E675">
        <v>1</v>
      </c>
      <c r="F675">
        <v>7</v>
      </c>
      <c r="G675" s="4">
        <v>45584</v>
      </c>
      <c r="H675" s="5">
        <v>11265.25</v>
      </c>
    </row>
    <row r="676" spans="1:8" x14ac:dyDescent="0.3">
      <c r="A676">
        <v>4675</v>
      </c>
      <c r="B676">
        <v>1232</v>
      </c>
      <c r="C676">
        <v>2018</v>
      </c>
      <c r="D676">
        <v>3023</v>
      </c>
      <c r="E676">
        <v>4</v>
      </c>
      <c r="F676">
        <v>22</v>
      </c>
      <c r="G676" s="4">
        <v>45601</v>
      </c>
      <c r="H676" s="5">
        <v>22647.41</v>
      </c>
    </row>
    <row r="677" spans="1:8" x14ac:dyDescent="0.3">
      <c r="A677">
        <v>4676</v>
      </c>
      <c r="B677">
        <v>1090</v>
      </c>
      <c r="C677">
        <v>2011</v>
      </c>
      <c r="D677">
        <v>3030</v>
      </c>
      <c r="E677">
        <v>1</v>
      </c>
      <c r="F677">
        <v>12</v>
      </c>
      <c r="G677" s="4">
        <v>45595</v>
      </c>
      <c r="H677" s="5">
        <v>6578.79</v>
      </c>
    </row>
    <row r="678" spans="1:8" x14ac:dyDescent="0.3">
      <c r="A678">
        <v>4677</v>
      </c>
      <c r="B678">
        <v>1063</v>
      </c>
      <c r="C678">
        <v>2022</v>
      </c>
      <c r="D678">
        <v>3023</v>
      </c>
      <c r="E678">
        <v>1</v>
      </c>
      <c r="F678">
        <v>12</v>
      </c>
      <c r="G678" s="4">
        <v>45603</v>
      </c>
      <c r="H678" s="5">
        <v>15041.39</v>
      </c>
    </row>
    <row r="679" spans="1:8" x14ac:dyDescent="0.3">
      <c r="A679">
        <v>4678</v>
      </c>
      <c r="B679">
        <v>1104</v>
      </c>
      <c r="C679">
        <v>2010</v>
      </c>
      <c r="D679">
        <v>3007</v>
      </c>
      <c r="E679">
        <v>1</v>
      </c>
      <c r="F679">
        <v>28</v>
      </c>
      <c r="G679" s="4">
        <v>45607</v>
      </c>
      <c r="H679" s="5">
        <v>12973.28</v>
      </c>
    </row>
    <row r="680" spans="1:8" x14ac:dyDescent="0.3">
      <c r="A680">
        <v>4679</v>
      </c>
      <c r="B680">
        <v>1267</v>
      </c>
      <c r="C680">
        <v>2004</v>
      </c>
      <c r="D680">
        <v>3012</v>
      </c>
      <c r="E680">
        <v>4</v>
      </c>
      <c r="F680">
        <v>22</v>
      </c>
      <c r="G680" s="4">
        <v>45577</v>
      </c>
      <c r="H680" s="5">
        <v>15464.11</v>
      </c>
    </row>
    <row r="681" spans="1:8" x14ac:dyDescent="0.3">
      <c r="A681">
        <v>4680</v>
      </c>
      <c r="B681">
        <v>1146</v>
      </c>
      <c r="C681">
        <v>2016</v>
      </c>
      <c r="D681">
        <v>3002</v>
      </c>
      <c r="E681">
        <v>5</v>
      </c>
      <c r="F681">
        <v>5</v>
      </c>
      <c r="G681" s="4">
        <v>45601</v>
      </c>
      <c r="H681" s="5">
        <v>58302.52</v>
      </c>
    </row>
    <row r="682" spans="1:8" x14ac:dyDescent="0.3">
      <c r="A682">
        <v>4681</v>
      </c>
      <c r="B682">
        <v>1258</v>
      </c>
      <c r="C682">
        <v>2003</v>
      </c>
      <c r="D682">
        <v>3021</v>
      </c>
      <c r="E682">
        <v>4</v>
      </c>
      <c r="F682">
        <v>27</v>
      </c>
      <c r="G682" s="4">
        <v>45595</v>
      </c>
      <c r="H682" s="5">
        <v>38536.61</v>
      </c>
    </row>
    <row r="683" spans="1:8" x14ac:dyDescent="0.3">
      <c r="A683">
        <v>4682</v>
      </c>
      <c r="B683">
        <v>1229</v>
      </c>
      <c r="C683">
        <v>2012</v>
      </c>
      <c r="D683">
        <v>3020</v>
      </c>
      <c r="E683">
        <v>4</v>
      </c>
      <c r="F683">
        <v>16</v>
      </c>
      <c r="G683" s="4">
        <v>45610</v>
      </c>
      <c r="H683" s="5">
        <v>39697.49</v>
      </c>
    </row>
    <row r="684" spans="1:8" x14ac:dyDescent="0.3">
      <c r="A684">
        <v>4683</v>
      </c>
      <c r="B684">
        <v>1119</v>
      </c>
      <c r="C684">
        <v>2022</v>
      </c>
      <c r="D684">
        <v>3014</v>
      </c>
      <c r="E684">
        <v>1</v>
      </c>
      <c r="F684">
        <v>1</v>
      </c>
      <c r="G684" s="4">
        <v>45591</v>
      </c>
      <c r="H684" s="5">
        <v>17042.68</v>
      </c>
    </row>
    <row r="685" spans="1:8" x14ac:dyDescent="0.3">
      <c r="A685">
        <v>4684</v>
      </c>
      <c r="B685">
        <v>1020</v>
      </c>
      <c r="C685">
        <v>2017</v>
      </c>
      <c r="D685">
        <v>3018</v>
      </c>
      <c r="E685">
        <v>5</v>
      </c>
      <c r="F685">
        <v>22</v>
      </c>
      <c r="G685" s="4">
        <v>45616</v>
      </c>
      <c r="H685" s="5">
        <v>31794.42</v>
      </c>
    </row>
    <row r="686" spans="1:8" x14ac:dyDescent="0.3">
      <c r="A686">
        <v>4685</v>
      </c>
      <c r="B686">
        <v>1197</v>
      </c>
      <c r="C686">
        <v>2019</v>
      </c>
      <c r="D686">
        <v>3019</v>
      </c>
      <c r="E686">
        <v>2</v>
      </c>
      <c r="F686">
        <v>28</v>
      </c>
      <c r="G686" s="4">
        <v>45584</v>
      </c>
      <c r="H686" s="5">
        <v>19645.490000000002</v>
      </c>
    </row>
    <row r="687" spans="1:8" x14ac:dyDescent="0.3">
      <c r="A687">
        <v>4686</v>
      </c>
      <c r="B687">
        <v>1189</v>
      </c>
      <c r="C687">
        <v>2001</v>
      </c>
      <c r="D687">
        <v>3014</v>
      </c>
      <c r="E687">
        <v>5</v>
      </c>
      <c r="F687">
        <v>23</v>
      </c>
      <c r="G687" s="4">
        <v>45579</v>
      </c>
      <c r="H687" s="5">
        <v>27856.71</v>
      </c>
    </row>
    <row r="688" spans="1:8" x14ac:dyDescent="0.3">
      <c r="A688">
        <v>4687</v>
      </c>
      <c r="B688">
        <v>1108</v>
      </c>
      <c r="C688">
        <v>2003</v>
      </c>
      <c r="D688">
        <v>3011</v>
      </c>
      <c r="E688">
        <v>5</v>
      </c>
      <c r="F688">
        <v>6</v>
      </c>
      <c r="G688" s="4">
        <v>45598</v>
      </c>
      <c r="H688" s="5">
        <v>62060.57</v>
      </c>
    </row>
    <row r="689" spans="1:8" x14ac:dyDescent="0.3">
      <c r="A689">
        <v>4688</v>
      </c>
      <c r="B689">
        <v>1154</v>
      </c>
      <c r="C689">
        <v>2015</v>
      </c>
      <c r="D689">
        <v>3032</v>
      </c>
      <c r="E689">
        <v>1</v>
      </c>
      <c r="F689">
        <v>29</v>
      </c>
      <c r="G689" s="4">
        <v>45604</v>
      </c>
      <c r="H689" s="5">
        <v>12560.45</v>
      </c>
    </row>
    <row r="690" spans="1:8" x14ac:dyDescent="0.3">
      <c r="A690">
        <v>4689</v>
      </c>
      <c r="B690">
        <v>1285</v>
      </c>
      <c r="C690">
        <v>2006</v>
      </c>
      <c r="D690">
        <v>3024</v>
      </c>
      <c r="E690">
        <v>5</v>
      </c>
      <c r="F690">
        <v>9</v>
      </c>
      <c r="G690" s="4">
        <v>45616</v>
      </c>
      <c r="H690" s="5">
        <v>54830.79</v>
      </c>
    </row>
    <row r="691" spans="1:8" x14ac:dyDescent="0.3">
      <c r="A691">
        <v>4690</v>
      </c>
      <c r="B691">
        <v>1298</v>
      </c>
      <c r="C691">
        <v>2006</v>
      </c>
      <c r="D691">
        <v>3017</v>
      </c>
      <c r="E691">
        <v>4</v>
      </c>
      <c r="F691">
        <v>13</v>
      </c>
      <c r="G691" s="4">
        <v>45615</v>
      </c>
      <c r="H691" s="5">
        <v>42132.82</v>
      </c>
    </row>
    <row r="692" spans="1:8" x14ac:dyDescent="0.3">
      <c r="A692">
        <v>4691</v>
      </c>
      <c r="B692">
        <v>1146</v>
      </c>
      <c r="C692">
        <v>2023</v>
      </c>
      <c r="D692">
        <v>3026</v>
      </c>
      <c r="E692">
        <v>2</v>
      </c>
      <c r="F692">
        <v>4</v>
      </c>
      <c r="G692" s="4">
        <v>45616</v>
      </c>
      <c r="H692" s="5">
        <v>9209.27</v>
      </c>
    </row>
    <row r="693" spans="1:8" x14ac:dyDescent="0.3">
      <c r="A693">
        <v>4692</v>
      </c>
      <c r="B693">
        <v>1128</v>
      </c>
      <c r="C693">
        <v>2008</v>
      </c>
      <c r="D693">
        <v>3008</v>
      </c>
      <c r="E693">
        <v>1</v>
      </c>
      <c r="F693">
        <v>4</v>
      </c>
      <c r="G693" s="4">
        <v>45590</v>
      </c>
      <c r="H693" s="5">
        <v>2053.5500000000002</v>
      </c>
    </row>
    <row r="694" spans="1:8" x14ac:dyDescent="0.3">
      <c r="A694">
        <v>4693</v>
      </c>
      <c r="B694">
        <v>1175</v>
      </c>
      <c r="C694">
        <v>2010</v>
      </c>
      <c r="D694">
        <v>3015</v>
      </c>
      <c r="E694">
        <v>2</v>
      </c>
      <c r="F694">
        <v>14</v>
      </c>
      <c r="G694" s="4">
        <v>45581</v>
      </c>
      <c r="H694" s="5">
        <v>30627.97</v>
      </c>
    </row>
    <row r="695" spans="1:8" x14ac:dyDescent="0.3">
      <c r="A695">
        <v>4694</v>
      </c>
      <c r="B695">
        <v>1061</v>
      </c>
      <c r="C695">
        <v>2016</v>
      </c>
      <c r="D695">
        <v>3017</v>
      </c>
      <c r="E695">
        <v>3</v>
      </c>
      <c r="F695">
        <v>28</v>
      </c>
      <c r="G695" s="4">
        <v>45579</v>
      </c>
      <c r="H695" s="5">
        <v>26328.87</v>
      </c>
    </row>
    <row r="696" spans="1:8" x14ac:dyDescent="0.3">
      <c r="A696">
        <v>4695</v>
      </c>
      <c r="B696">
        <v>1017</v>
      </c>
      <c r="C696">
        <v>2022</v>
      </c>
      <c r="D696">
        <v>3029</v>
      </c>
      <c r="E696">
        <v>5</v>
      </c>
      <c r="F696">
        <v>29</v>
      </c>
      <c r="G696" s="4">
        <v>45613</v>
      </c>
      <c r="H696" s="5">
        <v>61101.89</v>
      </c>
    </row>
    <row r="697" spans="1:8" x14ac:dyDescent="0.3">
      <c r="A697">
        <v>4696</v>
      </c>
      <c r="B697">
        <v>1018</v>
      </c>
      <c r="C697">
        <v>2005</v>
      </c>
      <c r="D697">
        <v>3029</v>
      </c>
      <c r="E697">
        <v>4</v>
      </c>
      <c r="F697">
        <v>8</v>
      </c>
      <c r="G697" s="4">
        <v>45589</v>
      </c>
      <c r="H697" s="5">
        <v>14064.07</v>
      </c>
    </row>
    <row r="698" spans="1:8" x14ac:dyDescent="0.3">
      <c r="A698">
        <v>4697</v>
      </c>
      <c r="B698">
        <v>1280</v>
      </c>
      <c r="C698">
        <v>2020</v>
      </c>
      <c r="D698">
        <v>3014</v>
      </c>
      <c r="E698">
        <v>2</v>
      </c>
      <c r="F698">
        <v>26</v>
      </c>
      <c r="G698" s="4">
        <v>45612</v>
      </c>
      <c r="H698" s="5">
        <v>6621.13</v>
      </c>
    </row>
    <row r="699" spans="1:8" x14ac:dyDescent="0.3">
      <c r="A699">
        <v>4698</v>
      </c>
      <c r="B699">
        <v>1107</v>
      </c>
      <c r="C699">
        <v>2024</v>
      </c>
      <c r="D699">
        <v>3009</v>
      </c>
      <c r="E699">
        <v>5</v>
      </c>
      <c r="F699">
        <v>5</v>
      </c>
      <c r="G699" s="4">
        <v>45575</v>
      </c>
      <c r="H699" s="5">
        <v>77674.39</v>
      </c>
    </row>
    <row r="700" spans="1:8" x14ac:dyDescent="0.3">
      <c r="A700">
        <v>4699</v>
      </c>
      <c r="B700">
        <v>1022</v>
      </c>
      <c r="C700">
        <v>2016</v>
      </c>
      <c r="D700">
        <v>3012</v>
      </c>
      <c r="E700">
        <v>2</v>
      </c>
      <c r="F700">
        <v>4</v>
      </c>
      <c r="G700" s="4">
        <v>45592</v>
      </c>
      <c r="H700" s="5">
        <v>23541.37</v>
      </c>
    </row>
    <row r="701" spans="1:8" x14ac:dyDescent="0.3">
      <c r="A701">
        <v>4700</v>
      </c>
      <c r="B701">
        <v>1029</v>
      </c>
      <c r="C701">
        <v>2014</v>
      </c>
      <c r="D701">
        <v>3019</v>
      </c>
      <c r="E701">
        <v>4</v>
      </c>
      <c r="F701">
        <v>9</v>
      </c>
      <c r="G701" s="4">
        <v>45575</v>
      </c>
      <c r="H701" s="5">
        <v>50077.96</v>
      </c>
    </row>
    <row r="702" spans="1:8" x14ac:dyDescent="0.3">
      <c r="A702">
        <v>4701</v>
      </c>
      <c r="B702">
        <v>1103</v>
      </c>
      <c r="C702">
        <v>2018</v>
      </c>
      <c r="D702">
        <v>3012</v>
      </c>
      <c r="E702">
        <v>1</v>
      </c>
      <c r="F702">
        <v>11</v>
      </c>
      <c r="G702" s="4">
        <v>45612</v>
      </c>
      <c r="H702" s="5">
        <v>6452.06</v>
      </c>
    </row>
    <row r="703" spans="1:8" x14ac:dyDescent="0.3">
      <c r="A703">
        <v>4702</v>
      </c>
      <c r="B703">
        <v>1236</v>
      </c>
      <c r="C703">
        <v>2004</v>
      </c>
      <c r="D703">
        <v>3029</v>
      </c>
      <c r="E703">
        <v>1</v>
      </c>
      <c r="F703">
        <v>23</v>
      </c>
      <c r="G703" s="4">
        <v>45615</v>
      </c>
      <c r="H703" s="5">
        <v>3794.72</v>
      </c>
    </row>
    <row r="704" spans="1:8" x14ac:dyDescent="0.3">
      <c r="A704">
        <v>4703</v>
      </c>
      <c r="B704">
        <v>1084</v>
      </c>
      <c r="C704">
        <v>2013</v>
      </c>
      <c r="D704">
        <v>3032</v>
      </c>
      <c r="E704">
        <v>2</v>
      </c>
      <c r="F704">
        <v>22</v>
      </c>
      <c r="G704" s="4">
        <v>45588</v>
      </c>
      <c r="H704" s="5">
        <v>18582.439999999999</v>
      </c>
    </row>
    <row r="705" spans="1:8" x14ac:dyDescent="0.3">
      <c r="A705">
        <v>4704</v>
      </c>
      <c r="B705">
        <v>1171</v>
      </c>
      <c r="C705">
        <v>2005</v>
      </c>
      <c r="D705">
        <v>3029</v>
      </c>
      <c r="E705">
        <v>1</v>
      </c>
      <c r="F705">
        <v>27</v>
      </c>
      <c r="G705" s="4">
        <v>45605</v>
      </c>
      <c r="H705" s="5">
        <v>2789.08</v>
      </c>
    </row>
    <row r="706" spans="1:8" x14ac:dyDescent="0.3">
      <c r="A706">
        <v>4705</v>
      </c>
      <c r="B706">
        <v>1078</v>
      </c>
      <c r="C706">
        <v>2007</v>
      </c>
      <c r="D706">
        <v>3035</v>
      </c>
      <c r="E706">
        <v>1</v>
      </c>
      <c r="F706">
        <v>3</v>
      </c>
      <c r="G706" s="4">
        <v>45610</v>
      </c>
      <c r="H706" s="5">
        <v>3321.58</v>
      </c>
    </row>
    <row r="707" spans="1:8" x14ac:dyDescent="0.3">
      <c r="A707">
        <v>4706</v>
      </c>
      <c r="B707">
        <v>1199</v>
      </c>
      <c r="C707">
        <v>2016</v>
      </c>
      <c r="D707">
        <v>3013</v>
      </c>
      <c r="E707">
        <v>3</v>
      </c>
      <c r="F707">
        <v>22</v>
      </c>
      <c r="G707" s="4">
        <v>45607</v>
      </c>
      <c r="H707" s="5">
        <v>28752.79</v>
      </c>
    </row>
    <row r="708" spans="1:8" x14ac:dyDescent="0.3">
      <c r="A708">
        <v>4707</v>
      </c>
      <c r="B708">
        <v>1186</v>
      </c>
      <c r="C708">
        <v>2017</v>
      </c>
      <c r="D708">
        <v>3022</v>
      </c>
      <c r="E708">
        <v>5</v>
      </c>
      <c r="F708">
        <v>18</v>
      </c>
      <c r="G708" s="4">
        <v>45615</v>
      </c>
      <c r="H708" s="5">
        <v>33538.04</v>
      </c>
    </row>
    <row r="709" spans="1:8" x14ac:dyDescent="0.3">
      <c r="A709">
        <v>4708</v>
      </c>
      <c r="B709">
        <v>1080</v>
      </c>
      <c r="C709">
        <v>2023</v>
      </c>
      <c r="D709">
        <v>3024</v>
      </c>
      <c r="E709">
        <v>4</v>
      </c>
      <c r="F709">
        <v>29</v>
      </c>
      <c r="G709" s="4">
        <v>45580</v>
      </c>
      <c r="H709" s="5">
        <v>13582.36</v>
      </c>
    </row>
    <row r="710" spans="1:8" x14ac:dyDescent="0.3">
      <c r="A710">
        <v>4709</v>
      </c>
      <c r="B710">
        <v>1052</v>
      </c>
      <c r="C710">
        <v>2007</v>
      </c>
      <c r="D710">
        <v>3026</v>
      </c>
      <c r="E710">
        <v>2</v>
      </c>
      <c r="F710">
        <v>25</v>
      </c>
      <c r="G710" s="4">
        <v>45578</v>
      </c>
      <c r="H710" s="5">
        <v>5129.6000000000004</v>
      </c>
    </row>
    <row r="711" spans="1:8" x14ac:dyDescent="0.3">
      <c r="A711">
        <v>4710</v>
      </c>
      <c r="B711">
        <v>1002</v>
      </c>
      <c r="C711">
        <v>2005</v>
      </c>
      <c r="D711">
        <v>3024</v>
      </c>
      <c r="E711">
        <v>2</v>
      </c>
      <c r="F711">
        <v>25</v>
      </c>
      <c r="G711" s="4">
        <v>45587</v>
      </c>
      <c r="H711" s="5">
        <v>5757.31</v>
      </c>
    </row>
    <row r="712" spans="1:8" x14ac:dyDescent="0.3">
      <c r="A712">
        <v>4711</v>
      </c>
      <c r="B712">
        <v>1063</v>
      </c>
      <c r="C712">
        <v>2018</v>
      </c>
      <c r="D712">
        <v>3033</v>
      </c>
      <c r="E712">
        <v>3</v>
      </c>
      <c r="F712">
        <v>26</v>
      </c>
      <c r="G712" s="4">
        <v>45614</v>
      </c>
      <c r="H712" s="5">
        <v>16009.93</v>
      </c>
    </row>
    <row r="713" spans="1:8" x14ac:dyDescent="0.3">
      <c r="A713">
        <v>4712</v>
      </c>
      <c r="B713">
        <v>1032</v>
      </c>
      <c r="C713">
        <v>2014</v>
      </c>
      <c r="D713">
        <v>3007</v>
      </c>
      <c r="E713">
        <v>1</v>
      </c>
      <c r="F713">
        <v>1</v>
      </c>
      <c r="G713" s="4">
        <v>45610</v>
      </c>
      <c r="H713" s="5">
        <v>13706.89</v>
      </c>
    </row>
    <row r="714" spans="1:8" x14ac:dyDescent="0.3">
      <c r="A714">
        <v>4713</v>
      </c>
      <c r="B714">
        <v>1299</v>
      </c>
      <c r="C714">
        <v>2019</v>
      </c>
      <c r="D714">
        <v>3023</v>
      </c>
      <c r="E714">
        <v>5</v>
      </c>
      <c r="F714">
        <v>21</v>
      </c>
      <c r="G714" s="4">
        <v>45580</v>
      </c>
      <c r="H714" s="5">
        <v>53887.53</v>
      </c>
    </row>
    <row r="715" spans="1:8" x14ac:dyDescent="0.3">
      <c r="A715">
        <v>4714</v>
      </c>
      <c r="B715">
        <v>1262</v>
      </c>
      <c r="C715">
        <v>2021</v>
      </c>
      <c r="D715">
        <v>3017</v>
      </c>
      <c r="E715">
        <v>1</v>
      </c>
      <c r="F715">
        <v>15</v>
      </c>
      <c r="G715" s="4">
        <v>45611</v>
      </c>
      <c r="H715" s="5">
        <v>14893.58</v>
      </c>
    </row>
    <row r="716" spans="1:8" x14ac:dyDescent="0.3">
      <c r="A716">
        <v>4715</v>
      </c>
      <c r="B716">
        <v>1198</v>
      </c>
      <c r="C716">
        <v>2021</v>
      </c>
      <c r="D716">
        <v>3034</v>
      </c>
      <c r="E716">
        <v>2</v>
      </c>
      <c r="F716">
        <v>20</v>
      </c>
      <c r="G716" s="4">
        <v>45600</v>
      </c>
      <c r="H716" s="5">
        <v>28239.599999999999</v>
      </c>
    </row>
    <row r="717" spans="1:8" x14ac:dyDescent="0.3">
      <c r="A717">
        <v>4716</v>
      </c>
      <c r="B717">
        <v>1120</v>
      </c>
      <c r="C717">
        <v>2012</v>
      </c>
      <c r="D717">
        <v>3033</v>
      </c>
      <c r="E717">
        <v>1</v>
      </c>
      <c r="F717">
        <v>3</v>
      </c>
      <c r="G717" s="4">
        <v>45604</v>
      </c>
      <c r="H717" s="5">
        <v>11493.19</v>
      </c>
    </row>
    <row r="718" spans="1:8" x14ac:dyDescent="0.3">
      <c r="A718">
        <v>4717</v>
      </c>
      <c r="B718">
        <v>1047</v>
      </c>
      <c r="C718">
        <v>2011</v>
      </c>
      <c r="D718">
        <v>3014</v>
      </c>
      <c r="E718">
        <v>1</v>
      </c>
      <c r="F718">
        <v>1</v>
      </c>
      <c r="G718" s="4">
        <v>45616</v>
      </c>
      <c r="H718" s="5">
        <v>7397.21</v>
      </c>
    </row>
    <row r="719" spans="1:8" x14ac:dyDescent="0.3">
      <c r="A719">
        <v>4718</v>
      </c>
      <c r="B719">
        <v>1160</v>
      </c>
      <c r="C719">
        <v>2019</v>
      </c>
      <c r="D719">
        <v>3024</v>
      </c>
      <c r="E719">
        <v>5</v>
      </c>
      <c r="F719">
        <v>24</v>
      </c>
      <c r="G719" s="4">
        <v>45613</v>
      </c>
      <c r="H719" s="5">
        <v>51619.8</v>
      </c>
    </row>
    <row r="720" spans="1:8" x14ac:dyDescent="0.3">
      <c r="A720">
        <v>4719</v>
      </c>
      <c r="B720">
        <v>1053</v>
      </c>
      <c r="C720">
        <v>2015</v>
      </c>
      <c r="D720">
        <v>3023</v>
      </c>
      <c r="E720">
        <v>5</v>
      </c>
      <c r="F720">
        <v>26</v>
      </c>
      <c r="G720" s="4">
        <v>45614</v>
      </c>
      <c r="H720" s="5">
        <v>65073.19</v>
      </c>
    </row>
    <row r="721" spans="1:8" x14ac:dyDescent="0.3">
      <c r="A721">
        <v>4720</v>
      </c>
      <c r="B721">
        <v>1174</v>
      </c>
      <c r="C721">
        <v>2021</v>
      </c>
      <c r="D721">
        <v>3002</v>
      </c>
      <c r="E721">
        <v>1</v>
      </c>
      <c r="F721">
        <v>11</v>
      </c>
      <c r="G721" s="4">
        <v>45597</v>
      </c>
      <c r="H721" s="5">
        <v>15669.13</v>
      </c>
    </row>
    <row r="722" spans="1:8" x14ac:dyDescent="0.3">
      <c r="A722">
        <v>4721</v>
      </c>
      <c r="B722">
        <v>1290</v>
      </c>
      <c r="C722">
        <v>2002</v>
      </c>
      <c r="D722">
        <v>3017</v>
      </c>
      <c r="E722">
        <v>1</v>
      </c>
      <c r="F722">
        <v>19</v>
      </c>
      <c r="G722" s="4">
        <v>45596</v>
      </c>
      <c r="H722" s="5">
        <v>7733.03</v>
      </c>
    </row>
    <row r="723" spans="1:8" x14ac:dyDescent="0.3">
      <c r="A723">
        <v>4722</v>
      </c>
      <c r="B723">
        <v>1175</v>
      </c>
      <c r="C723">
        <v>2022</v>
      </c>
      <c r="D723">
        <v>3019</v>
      </c>
      <c r="E723">
        <v>4</v>
      </c>
      <c r="F723">
        <v>28</v>
      </c>
      <c r="G723" s="4">
        <v>45595</v>
      </c>
      <c r="H723" s="5">
        <v>49169.61</v>
      </c>
    </row>
    <row r="724" spans="1:8" x14ac:dyDescent="0.3">
      <c r="A724">
        <v>4723</v>
      </c>
      <c r="B724">
        <v>1244</v>
      </c>
      <c r="C724">
        <v>2014</v>
      </c>
      <c r="D724">
        <v>3004</v>
      </c>
      <c r="E724">
        <v>4</v>
      </c>
      <c r="F724">
        <v>6</v>
      </c>
      <c r="G724" s="4">
        <v>45616</v>
      </c>
      <c r="H724" s="5">
        <v>52239.88</v>
      </c>
    </row>
    <row r="725" spans="1:8" x14ac:dyDescent="0.3">
      <c r="A725">
        <v>4724</v>
      </c>
      <c r="B725">
        <v>1061</v>
      </c>
      <c r="C725">
        <v>2006</v>
      </c>
      <c r="D725">
        <v>3028</v>
      </c>
      <c r="E725">
        <v>4</v>
      </c>
      <c r="F725">
        <v>18</v>
      </c>
      <c r="G725" s="4">
        <v>45599</v>
      </c>
      <c r="H725" s="5">
        <v>39503.74</v>
      </c>
    </row>
    <row r="726" spans="1:8" x14ac:dyDescent="0.3">
      <c r="A726">
        <v>4725</v>
      </c>
      <c r="B726">
        <v>1126</v>
      </c>
      <c r="C726">
        <v>2009</v>
      </c>
      <c r="D726">
        <v>3020</v>
      </c>
      <c r="E726">
        <v>4</v>
      </c>
      <c r="F726">
        <v>8</v>
      </c>
      <c r="G726" s="4">
        <v>45594</v>
      </c>
      <c r="H726" s="5">
        <v>40838.550000000003</v>
      </c>
    </row>
    <row r="727" spans="1:8" x14ac:dyDescent="0.3">
      <c r="A727">
        <v>4726</v>
      </c>
      <c r="B727">
        <v>1244</v>
      </c>
      <c r="C727">
        <v>2002</v>
      </c>
      <c r="D727">
        <v>3011</v>
      </c>
      <c r="E727">
        <v>3</v>
      </c>
      <c r="F727">
        <v>29</v>
      </c>
      <c r="G727" s="4">
        <v>45582</v>
      </c>
      <c r="H727" s="5">
        <v>20233.05</v>
      </c>
    </row>
    <row r="728" spans="1:8" x14ac:dyDescent="0.3">
      <c r="A728">
        <v>4727</v>
      </c>
      <c r="B728">
        <v>1278</v>
      </c>
      <c r="C728">
        <v>2001</v>
      </c>
      <c r="D728">
        <v>3026</v>
      </c>
      <c r="E728">
        <v>1</v>
      </c>
      <c r="F728">
        <v>17</v>
      </c>
      <c r="G728" s="4">
        <v>45596</v>
      </c>
      <c r="H728" s="5">
        <v>5994.18</v>
      </c>
    </row>
    <row r="729" spans="1:8" x14ac:dyDescent="0.3">
      <c r="A729">
        <v>4728</v>
      </c>
      <c r="B729">
        <v>1129</v>
      </c>
      <c r="C729">
        <v>2013</v>
      </c>
      <c r="D729">
        <v>3003</v>
      </c>
      <c r="E729">
        <v>5</v>
      </c>
      <c r="F729">
        <v>14</v>
      </c>
      <c r="G729" s="4">
        <v>45605</v>
      </c>
      <c r="H729" s="5">
        <v>50726.21</v>
      </c>
    </row>
    <row r="730" spans="1:8" x14ac:dyDescent="0.3">
      <c r="A730">
        <v>4729</v>
      </c>
      <c r="B730">
        <v>1165</v>
      </c>
      <c r="C730">
        <v>2020</v>
      </c>
      <c r="D730">
        <v>3008</v>
      </c>
      <c r="E730">
        <v>3</v>
      </c>
      <c r="F730">
        <v>5</v>
      </c>
      <c r="G730" s="4">
        <v>45614</v>
      </c>
      <c r="H730" s="5">
        <v>12866.04</v>
      </c>
    </row>
    <row r="731" spans="1:8" x14ac:dyDescent="0.3">
      <c r="A731">
        <v>4730</v>
      </c>
      <c r="B731">
        <v>1224</v>
      </c>
      <c r="C731">
        <v>2002</v>
      </c>
      <c r="D731">
        <v>3011</v>
      </c>
      <c r="E731">
        <v>2</v>
      </c>
      <c r="F731">
        <v>3</v>
      </c>
      <c r="G731" s="4">
        <v>45594</v>
      </c>
      <c r="H731" s="5">
        <v>18427.32</v>
      </c>
    </row>
    <row r="732" spans="1:8" x14ac:dyDescent="0.3">
      <c r="A732">
        <v>4731</v>
      </c>
      <c r="B732">
        <v>1080</v>
      </c>
      <c r="C732">
        <v>2013</v>
      </c>
      <c r="D732">
        <v>3016</v>
      </c>
      <c r="E732">
        <v>2</v>
      </c>
      <c r="F732">
        <v>19</v>
      </c>
      <c r="G732" s="4">
        <v>45597</v>
      </c>
      <c r="H732" s="5">
        <v>19141.52</v>
      </c>
    </row>
    <row r="733" spans="1:8" x14ac:dyDescent="0.3">
      <c r="A733">
        <v>4732</v>
      </c>
      <c r="B733">
        <v>1138</v>
      </c>
      <c r="C733">
        <v>2016</v>
      </c>
      <c r="D733">
        <v>3025</v>
      </c>
      <c r="E733">
        <v>2</v>
      </c>
      <c r="F733">
        <v>19</v>
      </c>
      <c r="G733" s="4">
        <v>45606</v>
      </c>
      <c r="H733" s="5">
        <v>19792.87</v>
      </c>
    </row>
    <row r="734" spans="1:8" x14ac:dyDescent="0.3">
      <c r="A734">
        <v>4733</v>
      </c>
      <c r="B734">
        <v>1279</v>
      </c>
      <c r="C734">
        <v>2024</v>
      </c>
      <c r="D734">
        <v>3002</v>
      </c>
      <c r="E734">
        <v>4</v>
      </c>
      <c r="F734">
        <v>2</v>
      </c>
      <c r="G734" s="4">
        <v>45595</v>
      </c>
      <c r="H734" s="5">
        <v>63760.2</v>
      </c>
    </row>
    <row r="735" spans="1:8" x14ac:dyDescent="0.3">
      <c r="A735">
        <v>4734</v>
      </c>
      <c r="B735">
        <v>1287</v>
      </c>
      <c r="C735">
        <v>2023</v>
      </c>
      <c r="D735">
        <v>3032</v>
      </c>
      <c r="E735">
        <v>4</v>
      </c>
      <c r="F735">
        <v>19</v>
      </c>
      <c r="G735" s="4">
        <v>45598</v>
      </c>
      <c r="H735" s="5">
        <v>15455.86</v>
      </c>
    </row>
    <row r="736" spans="1:8" x14ac:dyDescent="0.3">
      <c r="A736">
        <v>4735</v>
      </c>
      <c r="B736">
        <v>1011</v>
      </c>
      <c r="C736">
        <v>2017</v>
      </c>
      <c r="D736">
        <v>3012</v>
      </c>
      <c r="E736">
        <v>3</v>
      </c>
      <c r="F736">
        <v>15</v>
      </c>
      <c r="G736" s="4">
        <v>45579</v>
      </c>
      <c r="H736" s="5">
        <v>20997.09</v>
      </c>
    </row>
    <row r="737" spans="1:8" x14ac:dyDescent="0.3">
      <c r="A737">
        <v>4736</v>
      </c>
      <c r="B737">
        <v>1265</v>
      </c>
      <c r="C737">
        <v>2004</v>
      </c>
      <c r="D737">
        <v>3021</v>
      </c>
      <c r="E737">
        <v>2</v>
      </c>
      <c r="F737">
        <v>6</v>
      </c>
      <c r="G737" s="4">
        <v>45587</v>
      </c>
      <c r="H737" s="5">
        <v>9338.48</v>
      </c>
    </row>
    <row r="738" spans="1:8" x14ac:dyDescent="0.3">
      <c r="A738">
        <v>4737</v>
      </c>
      <c r="B738">
        <v>1276</v>
      </c>
      <c r="C738">
        <v>2005</v>
      </c>
      <c r="D738">
        <v>3016</v>
      </c>
      <c r="E738">
        <v>4</v>
      </c>
      <c r="F738">
        <v>22</v>
      </c>
      <c r="G738" s="4">
        <v>45599</v>
      </c>
      <c r="H738" s="5">
        <v>11989.3</v>
      </c>
    </row>
    <row r="739" spans="1:8" x14ac:dyDescent="0.3">
      <c r="A739">
        <v>4738</v>
      </c>
      <c r="B739">
        <v>1136</v>
      </c>
      <c r="C739">
        <v>2016</v>
      </c>
      <c r="D739">
        <v>3004</v>
      </c>
      <c r="E739">
        <v>1</v>
      </c>
      <c r="F739">
        <v>7</v>
      </c>
      <c r="G739" s="4">
        <v>45585</v>
      </c>
      <c r="H739" s="5">
        <v>11432.8</v>
      </c>
    </row>
    <row r="740" spans="1:8" x14ac:dyDescent="0.3">
      <c r="A740">
        <v>4739</v>
      </c>
      <c r="B740">
        <v>1138</v>
      </c>
      <c r="C740">
        <v>2009</v>
      </c>
      <c r="D740">
        <v>3010</v>
      </c>
      <c r="E740">
        <v>5</v>
      </c>
      <c r="F740">
        <v>12</v>
      </c>
      <c r="G740" s="4">
        <v>45602</v>
      </c>
      <c r="H740" s="5">
        <v>48822.22</v>
      </c>
    </row>
    <row r="741" spans="1:8" x14ac:dyDescent="0.3">
      <c r="A741">
        <v>4740</v>
      </c>
      <c r="B741">
        <v>1240</v>
      </c>
      <c r="C741">
        <v>2002</v>
      </c>
      <c r="D741">
        <v>3002</v>
      </c>
      <c r="E741">
        <v>1</v>
      </c>
      <c r="F741">
        <v>8</v>
      </c>
      <c r="G741" s="4">
        <v>45605</v>
      </c>
      <c r="H741" s="5">
        <v>8759.84</v>
      </c>
    </row>
    <row r="742" spans="1:8" x14ac:dyDescent="0.3">
      <c r="A742">
        <v>4741</v>
      </c>
      <c r="B742">
        <v>1116</v>
      </c>
      <c r="C742">
        <v>2002</v>
      </c>
      <c r="D742">
        <v>3004</v>
      </c>
      <c r="E742">
        <v>1</v>
      </c>
      <c r="F742">
        <v>27</v>
      </c>
      <c r="G742" s="4">
        <v>45601</v>
      </c>
      <c r="H742" s="5">
        <v>6928.36</v>
      </c>
    </row>
    <row r="743" spans="1:8" x14ac:dyDescent="0.3">
      <c r="A743">
        <v>4742</v>
      </c>
      <c r="B743">
        <v>1025</v>
      </c>
      <c r="C743">
        <v>2006</v>
      </c>
      <c r="D743">
        <v>3024</v>
      </c>
      <c r="E743">
        <v>1</v>
      </c>
      <c r="F743">
        <v>15</v>
      </c>
      <c r="G743" s="4">
        <v>45612</v>
      </c>
      <c r="H743" s="5">
        <v>10287.18</v>
      </c>
    </row>
    <row r="744" spans="1:8" x14ac:dyDescent="0.3">
      <c r="A744">
        <v>4743</v>
      </c>
      <c r="B744">
        <v>1127</v>
      </c>
      <c r="C744">
        <v>2013</v>
      </c>
      <c r="D744">
        <v>3018</v>
      </c>
      <c r="E744">
        <v>4</v>
      </c>
      <c r="F744">
        <v>19</v>
      </c>
      <c r="G744" s="4">
        <v>45606</v>
      </c>
      <c r="H744" s="5">
        <v>38287.78</v>
      </c>
    </row>
    <row r="745" spans="1:8" x14ac:dyDescent="0.3">
      <c r="A745">
        <v>4744</v>
      </c>
      <c r="B745">
        <v>1060</v>
      </c>
      <c r="C745">
        <v>2008</v>
      </c>
      <c r="D745">
        <v>3034</v>
      </c>
      <c r="E745">
        <v>2</v>
      </c>
      <c r="F745">
        <v>28</v>
      </c>
      <c r="G745" s="4">
        <v>45601</v>
      </c>
      <c r="H745" s="5">
        <v>3074.99</v>
      </c>
    </row>
    <row r="746" spans="1:8" x14ac:dyDescent="0.3">
      <c r="A746">
        <v>4745</v>
      </c>
      <c r="B746">
        <v>1254</v>
      </c>
      <c r="C746">
        <v>2018</v>
      </c>
      <c r="D746">
        <v>3033</v>
      </c>
      <c r="E746">
        <v>2</v>
      </c>
      <c r="F746">
        <v>23</v>
      </c>
      <c r="G746" s="4">
        <v>45602</v>
      </c>
      <c r="H746" s="5">
        <v>11190.44</v>
      </c>
    </row>
    <row r="747" spans="1:8" x14ac:dyDescent="0.3">
      <c r="A747">
        <v>4746</v>
      </c>
      <c r="B747">
        <v>1078</v>
      </c>
      <c r="C747">
        <v>2023</v>
      </c>
      <c r="D747">
        <v>3003</v>
      </c>
      <c r="E747">
        <v>4</v>
      </c>
      <c r="F747">
        <v>20</v>
      </c>
      <c r="G747" s="4">
        <v>45589</v>
      </c>
      <c r="H747" s="5">
        <v>15340.8</v>
      </c>
    </row>
    <row r="748" spans="1:8" x14ac:dyDescent="0.3">
      <c r="A748">
        <v>4747</v>
      </c>
      <c r="B748">
        <v>1144</v>
      </c>
      <c r="C748">
        <v>2011</v>
      </c>
      <c r="D748">
        <v>3030</v>
      </c>
      <c r="E748">
        <v>2</v>
      </c>
      <c r="F748">
        <v>5</v>
      </c>
      <c r="G748" s="4">
        <v>45604</v>
      </c>
      <c r="H748" s="5">
        <v>14198.94</v>
      </c>
    </row>
    <row r="749" spans="1:8" x14ac:dyDescent="0.3">
      <c r="A749">
        <v>4748</v>
      </c>
      <c r="B749">
        <v>1057</v>
      </c>
      <c r="C749">
        <v>2017</v>
      </c>
      <c r="D749">
        <v>3028</v>
      </c>
      <c r="E749">
        <v>3</v>
      </c>
      <c r="F749">
        <v>7</v>
      </c>
      <c r="G749" s="4">
        <v>45592</v>
      </c>
      <c r="H749" s="5">
        <v>22907.7</v>
      </c>
    </row>
    <row r="750" spans="1:8" x14ac:dyDescent="0.3">
      <c r="A750">
        <v>4749</v>
      </c>
      <c r="B750">
        <v>1093</v>
      </c>
      <c r="C750">
        <v>2014</v>
      </c>
      <c r="D750">
        <v>3011</v>
      </c>
      <c r="E750">
        <v>3</v>
      </c>
      <c r="F750">
        <v>29</v>
      </c>
      <c r="G750" s="4">
        <v>45588</v>
      </c>
      <c r="H750" s="5">
        <v>29285.41</v>
      </c>
    </row>
    <row r="751" spans="1:8" x14ac:dyDescent="0.3">
      <c r="A751">
        <v>4750</v>
      </c>
      <c r="B751">
        <v>1213</v>
      </c>
      <c r="C751">
        <v>2006</v>
      </c>
      <c r="D751">
        <v>3007</v>
      </c>
      <c r="E751">
        <v>2</v>
      </c>
      <c r="F751">
        <v>29</v>
      </c>
      <c r="G751" s="4">
        <v>45594</v>
      </c>
      <c r="H751" s="5">
        <v>17016.66</v>
      </c>
    </row>
    <row r="752" spans="1:8" x14ac:dyDescent="0.3">
      <c r="A752">
        <v>4751</v>
      </c>
      <c r="B752">
        <v>1293</v>
      </c>
      <c r="C752">
        <v>2014</v>
      </c>
      <c r="D752">
        <v>3027</v>
      </c>
      <c r="E752">
        <v>2</v>
      </c>
      <c r="F752">
        <v>1</v>
      </c>
      <c r="G752" s="4">
        <v>45584</v>
      </c>
      <c r="H752" s="5">
        <v>27256.19</v>
      </c>
    </row>
    <row r="753" spans="1:8" x14ac:dyDescent="0.3">
      <c r="A753">
        <v>4752</v>
      </c>
      <c r="B753">
        <v>1275</v>
      </c>
      <c r="C753">
        <v>2021</v>
      </c>
      <c r="D753">
        <v>3034</v>
      </c>
      <c r="E753">
        <v>4</v>
      </c>
      <c r="F753">
        <v>2</v>
      </c>
      <c r="G753" s="4">
        <v>45613</v>
      </c>
      <c r="H753" s="5">
        <v>69288.84</v>
      </c>
    </row>
    <row r="754" spans="1:8" x14ac:dyDescent="0.3">
      <c r="A754">
        <v>4753</v>
      </c>
      <c r="B754">
        <v>1222</v>
      </c>
      <c r="C754">
        <v>2012</v>
      </c>
      <c r="D754">
        <v>3031</v>
      </c>
      <c r="E754">
        <v>5</v>
      </c>
      <c r="F754">
        <v>26</v>
      </c>
      <c r="G754" s="4">
        <v>45613</v>
      </c>
      <c r="H754" s="5">
        <v>44062.17</v>
      </c>
    </row>
    <row r="755" spans="1:8" x14ac:dyDescent="0.3">
      <c r="A755">
        <v>4754</v>
      </c>
      <c r="B755">
        <v>1265</v>
      </c>
      <c r="C755">
        <v>2017</v>
      </c>
      <c r="D755">
        <v>3018</v>
      </c>
      <c r="E755">
        <v>3</v>
      </c>
      <c r="F755">
        <v>19</v>
      </c>
      <c r="G755" s="4">
        <v>45613</v>
      </c>
      <c r="H755" s="5">
        <v>19855.14</v>
      </c>
    </row>
    <row r="756" spans="1:8" x14ac:dyDescent="0.3">
      <c r="A756">
        <v>4755</v>
      </c>
      <c r="B756">
        <v>1254</v>
      </c>
      <c r="C756">
        <v>2024</v>
      </c>
      <c r="D756">
        <v>3002</v>
      </c>
      <c r="E756">
        <v>1</v>
      </c>
      <c r="F756">
        <v>27</v>
      </c>
      <c r="G756" s="4">
        <v>45582</v>
      </c>
      <c r="H756" s="5">
        <v>11955.04</v>
      </c>
    </row>
    <row r="757" spans="1:8" x14ac:dyDescent="0.3">
      <c r="A757">
        <v>4756</v>
      </c>
      <c r="B757">
        <v>1081</v>
      </c>
      <c r="C757">
        <v>2001</v>
      </c>
      <c r="D757">
        <v>3010</v>
      </c>
      <c r="E757">
        <v>1</v>
      </c>
      <c r="F757">
        <v>12</v>
      </c>
      <c r="G757" s="4">
        <v>45600</v>
      </c>
      <c r="H757" s="5">
        <v>6365.7</v>
      </c>
    </row>
    <row r="758" spans="1:8" x14ac:dyDescent="0.3">
      <c r="A758">
        <v>4757</v>
      </c>
      <c r="B758">
        <v>1282</v>
      </c>
      <c r="C758">
        <v>2008</v>
      </c>
      <c r="D758">
        <v>3034</v>
      </c>
      <c r="E758">
        <v>1</v>
      </c>
      <c r="F758">
        <v>19</v>
      </c>
      <c r="G758" s="4">
        <v>45595</v>
      </c>
      <c r="H758" s="5">
        <v>1729.52</v>
      </c>
    </row>
    <row r="759" spans="1:8" x14ac:dyDescent="0.3">
      <c r="A759">
        <v>4758</v>
      </c>
      <c r="B759">
        <v>1247</v>
      </c>
      <c r="C759">
        <v>2021</v>
      </c>
      <c r="D759">
        <v>3033</v>
      </c>
      <c r="E759">
        <v>2</v>
      </c>
      <c r="F759">
        <v>0</v>
      </c>
      <c r="G759" s="4">
        <v>45600</v>
      </c>
      <c r="H759" s="5">
        <v>35157.93</v>
      </c>
    </row>
    <row r="760" spans="1:8" x14ac:dyDescent="0.3">
      <c r="A760">
        <v>4759</v>
      </c>
      <c r="B760">
        <v>1070</v>
      </c>
      <c r="C760">
        <v>2025</v>
      </c>
      <c r="D760">
        <v>3016</v>
      </c>
      <c r="E760">
        <v>1</v>
      </c>
      <c r="F760">
        <v>22</v>
      </c>
      <c r="G760" s="4">
        <v>45599</v>
      </c>
      <c r="H760" s="5">
        <v>13307.16</v>
      </c>
    </row>
    <row r="761" spans="1:8" x14ac:dyDescent="0.3">
      <c r="A761">
        <v>4760</v>
      </c>
      <c r="B761">
        <v>1175</v>
      </c>
      <c r="C761">
        <v>2021</v>
      </c>
      <c r="D761">
        <v>3014</v>
      </c>
      <c r="E761">
        <v>3</v>
      </c>
      <c r="F761">
        <v>8</v>
      </c>
      <c r="G761" s="4">
        <v>45600</v>
      </c>
      <c r="H761" s="5">
        <v>48442.400000000001</v>
      </c>
    </row>
    <row r="762" spans="1:8" x14ac:dyDescent="0.3">
      <c r="A762">
        <v>4761</v>
      </c>
      <c r="B762">
        <v>1219</v>
      </c>
      <c r="C762">
        <v>2005</v>
      </c>
      <c r="D762">
        <v>3021</v>
      </c>
      <c r="E762">
        <v>3</v>
      </c>
      <c r="F762">
        <v>30</v>
      </c>
      <c r="G762" s="4">
        <v>45603</v>
      </c>
      <c r="H762" s="5">
        <v>8085.88</v>
      </c>
    </row>
    <row r="763" spans="1:8" x14ac:dyDescent="0.3">
      <c r="A763">
        <v>4762</v>
      </c>
      <c r="B763">
        <v>1283</v>
      </c>
      <c r="C763">
        <v>2007</v>
      </c>
      <c r="D763">
        <v>3014</v>
      </c>
      <c r="E763">
        <v>4</v>
      </c>
      <c r="F763">
        <v>24</v>
      </c>
      <c r="G763" s="4">
        <v>45601</v>
      </c>
      <c r="H763" s="5">
        <v>10346.549999999999</v>
      </c>
    </row>
    <row r="764" spans="1:8" x14ac:dyDescent="0.3">
      <c r="A764">
        <v>4763</v>
      </c>
      <c r="B764">
        <v>1018</v>
      </c>
      <c r="C764">
        <v>2002</v>
      </c>
      <c r="D764">
        <v>3007</v>
      </c>
      <c r="E764">
        <v>5</v>
      </c>
      <c r="F764">
        <v>1</v>
      </c>
      <c r="G764" s="4">
        <v>45607</v>
      </c>
      <c r="H764" s="5">
        <v>47126.559999999998</v>
      </c>
    </row>
    <row r="765" spans="1:8" x14ac:dyDescent="0.3">
      <c r="A765">
        <v>4764</v>
      </c>
      <c r="B765">
        <v>1183</v>
      </c>
      <c r="C765">
        <v>2020</v>
      </c>
      <c r="D765">
        <v>3026</v>
      </c>
      <c r="E765">
        <v>3</v>
      </c>
      <c r="F765">
        <v>8</v>
      </c>
      <c r="G765" s="4">
        <v>45607</v>
      </c>
      <c r="H765" s="5">
        <v>12346.87</v>
      </c>
    </row>
    <row r="766" spans="1:8" x14ac:dyDescent="0.3">
      <c r="A766">
        <v>4765</v>
      </c>
      <c r="B766">
        <v>1161</v>
      </c>
      <c r="C766">
        <v>2004</v>
      </c>
      <c r="D766">
        <v>3011</v>
      </c>
      <c r="E766">
        <v>3</v>
      </c>
      <c r="F766">
        <v>23</v>
      </c>
      <c r="G766" s="4">
        <v>45584</v>
      </c>
      <c r="H766" s="5">
        <v>11501.52</v>
      </c>
    </row>
    <row r="767" spans="1:8" x14ac:dyDescent="0.3">
      <c r="A767">
        <v>4766</v>
      </c>
      <c r="B767">
        <v>1295</v>
      </c>
      <c r="C767">
        <v>2018</v>
      </c>
      <c r="D767">
        <v>3022</v>
      </c>
      <c r="E767">
        <v>4</v>
      </c>
      <c r="F767">
        <v>13</v>
      </c>
      <c r="G767" s="4">
        <v>45596</v>
      </c>
      <c r="H767" s="5">
        <v>25344.71</v>
      </c>
    </row>
    <row r="768" spans="1:8" x14ac:dyDescent="0.3">
      <c r="A768">
        <v>4767</v>
      </c>
      <c r="B768">
        <v>1115</v>
      </c>
      <c r="C768">
        <v>2010</v>
      </c>
      <c r="D768">
        <v>3029</v>
      </c>
      <c r="E768">
        <v>2</v>
      </c>
      <c r="F768">
        <v>18</v>
      </c>
      <c r="G768" s="4">
        <v>45612</v>
      </c>
      <c r="H768" s="5">
        <v>29338.52</v>
      </c>
    </row>
    <row r="769" spans="1:8" x14ac:dyDescent="0.3">
      <c r="A769">
        <v>4768</v>
      </c>
      <c r="B769">
        <v>1103</v>
      </c>
      <c r="C769">
        <v>2011</v>
      </c>
      <c r="D769">
        <v>3024</v>
      </c>
      <c r="E769">
        <v>4</v>
      </c>
      <c r="F769">
        <v>11</v>
      </c>
      <c r="G769" s="4">
        <v>45576</v>
      </c>
      <c r="H769" s="5">
        <v>26674.25</v>
      </c>
    </row>
    <row r="770" spans="1:8" x14ac:dyDescent="0.3">
      <c r="A770">
        <v>4769</v>
      </c>
      <c r="B770">
        <v>1085</v>
      </c>
      <c r="C770">
        <v>2012</v>
      </c>
      <c r="D770">
        <v>3009</v>
      </c>
      <c r="E770">
        <v>4</v>
      </c>
      <c r="F770">
        <v>2</v>
      </c>
      <c r="G770" s="4">
        <v>45608</v>
      </c>
      <c r="H770" s="5">
        <v>46328.77</v>
      </c>
    </row>
    <row r="771" spans="1:8" x14ac:dyDescent="0.3">
      <c r="A771">
        <v>4770</v>
      </c>
      <c r="B771">
        <v>1216</v>
      </c>
      <c r="C771">
        <v>2020</v>
      </c>
      <c r="D771">
        <v>3011</v>
      </c>
      <c r="E771">
        <v>3</v>
      </c>
      <c r="F771">
        <v>17</v>
      </c>
      <c r="G771" s="4">
        <v>45583</v>
      </c>
      <c r="H771" s="5">
        <v>11258.63</v>
      </c>
    </row>
    <row r="772" spans="1:8" x14ac:dyDescent="0.3">
      <c r="A772">
        <v>4771</v>
      </c>
      <c r="B772">
        <v>1165</v>
      </c>
      <c r="C772">
        <v>2012</v>
      </c>
      <c r="D772">
        <v>3003</v>
      </c>
      <c r="E772">
        <v>4</v>
      </c>
      <c r="F772">
        <v>11</v>
      </c>
      <c r="G772" s="4">
        <v>45577</v>
      </c>
      <c r="H772" s="5">
        <v>42170.57</v>
      </c>
    </row>
    <row r="773" spans="1:8" x14ac:dyDescent="0.3">
      <c r="A773">
        <v>4772</v>
      </c>
      <c r="B773">
        <v>1150</v>
      </c>
      <c r="C773">
        <v>2011</v>
      </c>
      <c r="D773">
        <v>3012</v>
      </c>
      <c r="E773">
        <v>5</v>
      </c>
      <c r="F773">
        <v>7</v>
      </c>
      <c r="G773" s="4">
        <v>45587</v>
      </c>
      <c r="H773" s="5">
        <v>34719.32</v>
      </c>
    </row>
    <row r="774" spans="1:8" x14ac:dyDescent="0.3">
      <c r="A774">
        <v>4773</v>
      </c>
      <c r="B774">
        <v>1142</v>
      </c>
      <c r="C774">
        <v>2004</v>
      </c>
      <c r="D774">
        <v>3007</v>
      </c>
      <c r="E774">
        <v>5</v>
      </c>
      <c r="F774">
        <v>18</v>
      </c>
      <c r="G774" s="4">
        <v>45579</v>
      </c>
      <c r="H774" s="5">
        <v>20362.62</v>
      </c>
    </row>
    <row r="775" spans="1:8" x14ac:dyDescent="0.3">
      <c r="A775">
        <v>4774</v>
      </c>
      <c r="B775">
        <v>1233</v>
      </c>
      <c r="C775">
        <v>2006</v>
      </c>
      <c r="D775">
        <v>3021</v>
      </c>
      <c r="E775">
        <v>2</v>
      </c>
      <c r="F775">
        <v>18</v>
      </c>
      <c r="G775" s="4">
        <v>45586</v>
      </c>
      <c r="H775" s="5">
        <v>19701.22</v>
      </c>
    </row>
    <row r="776" spans="1:8" x14ac:dyDescent="0.3">
      <c r="A776">
        <v>4775</v>
      </c>
      <c r="B776">
        <v>1147</v>
      </c>
      <c r="C776">
        <v>2014</v>
      </c>
      <c r="D776">
        <v>3004</v>
      </c>
      <c r="E776">
        <v>4</v>
      </c>
      <c r="F776">
        <v>20</v>
      </c>
      <c r="G776" s="4">
        <v>45586</v>
      </c>
      <c r="H776" s="5">
        <v>43990.32</v>
      </c>
    </row>
    <row r="777" spans="1:8" x14ac:dyDescent="0.3">
      <c r="A777">
        <v>4776</v>
      </c>
      <c r="B777">
        <v>1182</v>
      </c>
      <c r="C777">
        <v>2006</v>
      </c>
      <c r="D777">
        <v>3003</v>
      </c>
      <c r="E777">
        <v>3</v>
      </c>
      <c r="F777">
        <v>27</v>
      </c>
      <c r="G777" s="4">
        <v>45608</v>
      </c>
      <c r="H777" s="5">
        <v>26516.32</v>
      </c>
    </row>
    <row r="778" spans="1:8" x14ac:dyDescent="0.3">
      <c r="A778">
        <v>4777</v>
      </c>
      <c r="B778">
        <v>1050</v>
      </c>
      <c r="C778">
        <v>2014</v>
      </c>
      <c r="D778">
        <v>3027</v>
      </c>
      <c r="E778">
        <v>4</v>
      </c>
      <c r="F778">
        <v>12</v>
      </c>
      <c r="G778" s="4">
        <v>45590</v>
      </c>
      <c r="H778" s="5">
        <v>48695.66</v>
      </c>
    </row>
    <row r="779" spans="1:8" x14ac:dyDescent="0.3">
      <c r="A779">
        <v>4778</v>
      </c>
      <c r="B779">
        <v>1248</v>
      </c>
      <c r="C779">
        <v>2007</v>
      </c>
      <c r="D779">
        <v>3012</v>
      </c>
      <c r="E779">
        <v>2</v>
      </c>
      <c r="F779">
        <v>24</v>
      </c>
      <c r="G779" s="4">
        <v>45592</v>
      </c>
      <c r="H779" s="5">
        <v>5157.58</v>
      </c>
    </row>
    <row r="780" spans="1:8" x14ac:dyDescent="0.3">
      <c r="A780">
        <v>4779</v>
      </c>
      <c r="B780">
        <v>1195</v>
      </c>
      <c r="C780">
        <v>2022</v>
      </c>
      <c r="D780">
        <v>3023</v>
      </c>
      <c r="E780">
        <v>5</v>
      </c>
      <c r="F780">
        <v>21</v>
      </c>
      <c r="G780" s="4">
        <v>45578</v>
      </c>
      <c r="H780" s="5">
        <v>67747.12</v>
      </c>
    </row>
    <row r="781" spans="1:8" x14ac:dyDescent="0.3">
      <c r="A781">
        <v>4780</v>
      </c>
      <c r="B781">
        <v>1002</v>
      </c>
      <c r="C781">
        <v>2009</v>
      </c>
      <c r="D781">
        <v>3025</v>
      </c>
      <c r="E781">
        <v>1</v>
      </c>
      <c r="F781">
        <v>14</v>
      </c>
      <c r="G781" s="4">
        <v>45605</v>
      </c>
      <c r="H781" s="5">
        <v>9531.35</v>
      </c>
    </row>
    <row r="782" spans="1:8" x14ac:dyDescent="0.3">
      <c r="A782">
        <v>4781</v>
      </c>
      <c r="B782">
        <v>1207</v>
      </c>
      <c r="C782">
        <v>2008</v>
      </c>
      <c r="D782">
        <v>3014</v>
      </c>
      <c r="E782">
        <v>1</v>
      </c>
      <c r="F782">
        <v>6</v>
      </c>
      <c r="G782" s="4">
        <v>45615</v>
      </c>
      <c r="H782" s="5">
        <v>2011.04</v>
      </c>
    </row>
    <row r="783" spans="1:8" x14ac:dyDescent="0.3">
      <c r="A783">
        <v>4782</v>
      </c>
      <c r="B783">
        <v>1033</v>
      </c>
      <c r="C783">
        <v>2019</v>
      </c>
      <c r="D783">
        <v>3035</v>
      </c>
      <c r="E783">
        <v>5</v>
      </c>
      <c r="F783">
        <v>3</v>
      </c>
      <c r="G783" s="4">
        <v>45611</v>
      </c>
      <c r="H783" s="5">
        <v>66077.429999999993</v>
      </c>
    </row>
    <row r="784" spans="1:8" x14ac:dyDescent="0.3">
      <c r="A784">
        <v>4783</v>
      </c>
      <c r="B784">
        <v>1297</v>
      </c>
      <c r="C784">
        <v>2006</v>
      </c>
      <c r="D784">
        <v>3004</v>
      </c>
      <c r="E784">
        <v>1</v>
      </c>
      <c r="F784">
        <v>27</v>
      </c>
      <c r="G784" s="4">
        <v>45608</v>
      </c>
      <c r="H784" s="5">
        <v>8855.66</v>
      </c>
    </row>
    <row r="785" spans="1:8" x14ac:dyDescent="0.3">
      <c r="A785">
        <v>4784</v>
      </c>
      <c r="B785">
        <v>1088</v>
      </c>
      <c r="C785">
        <v>2015</v>
      </c>
      <c r="D785">
        <v>3029</v>
      </c>
      <c r="E785">
        <v>2</v>
      </c>
      <c r="F785">
        <v>30</v>
      </c>
      <c r="G785" s="4">
        <v>45606</v>
      </c>
      <c r="H785" s="5">
        <v>24800.52</v>
      </c>
    </row>
    <row r="786" spans="1:8" x14ac:dyDescent="0.3">
      <c r="A786">
        <v>4785</v>
      </c>
      <c r="B786">
        <v>1226</v>
      </c>
      <c r="C786">
        <v>2008</v>
      </c>
      <c r="D786">
        <v>3017</v>
      </c>
      <c r="E786">
        <v>4</v>
      </c>
      <c r="F786">
        <v>6</v>
      </c>
      <c r="G786" s="4">
        <v>45612</v>
      </c>
      <c r="H786" s="5">
        <v>8071.52</v>
      </c>
    </row>
    <row r="787" spans="1:8" x14ac:dyDescent="0.3">
      <c r="A787">
        <v>4786</v>
      </c>
      <c r="B787">
        <v>1096</v>
      </c>
      <c r="C787">
        <v>2005</v>
      </c>
      <c r="D787">
        <v>3018</v>
      </c>
      <c r="E787">
        <v>5</v>
      </c>
      <c r="F787">
        <v>23</v>
      </c>
      <c r="G787" s="4">
        <v>45580</v>
      </c>
      <c r="H787" s="5">
        <v>14737.8</v>
      </c>
    </row>
    <row r="788" spans="1:8" x14ac:dyDescent="0.3">
      <c r="A788">
        <v>4787</v>
      </c>
      <c r="B788">
        <v>1058</v>
      </c>
      <c r="C788">
        <v>2006</v>
      </c>
      <c r="D788">
        <v>3035</v>
      </c>
      <c r="E788">
        <v>2</v>
      </c>
      <c r="F788">
        <v>17</v>
      </c>
      <c r="G788" s="4">
        <v>45614</v>
      </c>
      <c r="H788" s="5">
        <v>19918.3</v>
      </c>
    </row>
    <row r="789" spans="1:8" x14ac:dyDescent="0.3">
      <c r="A789">
        <v>4788</v>
      </c>
      <c r="B789">
        <v>1068</v>
      </c>
      <c r="C789">
        <v>2002</v>
      </c>
      <c r="D789">
        <v>3026</v>
      </c>
      <c r="E789">
        <v>2</v>
      </c>
      <c r="F789">
        <v>13</v>
      </c>
      <c r="G789" s="4">
        <v>45599</v>
      </c>
      <c r="H789" s="5">
        <v>16596.79</v>
      </c>
    </row>
    <row r="790" spans="1:8" x14ac:dyDescent="0.3">
      <c r="A790">
        <v>4789</v>
      </c>
      <c r="B790">
        <v>1101</v>
      </c>
      <c r="C790">
        <v>2001</v>
      </c>
      <c r="D790">
        <v>3003</v>
      </c>
      <c r="E790">
        <v>3</v>
      </c>
      <c r="F790">
        <v>1</v>
      </c>
      <c r="G790" s="4">
        <v>45585</v>
      </c>
      <c r="H790" s="5">
        <v>21478</v>
      </c>
    </row>
    <row r="791" spans="1:8" x14ac:dyDescent="0.3">
      <c r="A791">
        <v>4790</v>
      </c>
      <c r="B791">
        <v>1245</v>
      </c>
      <c r="C791">
        <v>2011</v>
      </c>
      <c r="D791">
        <v>3034</v>
      </c>
      <c r="E791">
        <v>5</v>
      </c>
      <c r="F791">
        <v>6</v>
      </c>
      <c r="G791" s="4">
        <v>45588</v>
      </c>
      <c r="H791" s="5">
        <v>35329.019999999997</v>
      </c>
    </row>
    <row r="792" spans="1:8" x14ac:dyDescent="0.3">
      <c r="A792">
        <v>4791</v>
      </c>
      <c r="B792">
        <v>1215</v>
      </c>
      <c r="C792">
        <v>2018</v>
      </c>
      <c r="D792">
        <v>3026</v>
      </c>
      <c r="E792">
        <v>2</v>
      </c>
      <c r="F792">
        <v>25</v>
      </c>
      <c r="G792" s="4">
        <v>45609</v>
      </c>
      <c r="H792" s="5">
        <v>10835.53</v>
      </c>
    </row>
    <row r="793" spans="1:8" x14ac:dyDescent="0.3">
      <c r="A793">
        <v>4792</v>
      </c>
      <c r="B793">
        <v>1196</v>
      </c>
      <c r="C793">
        <v>2023</v>
      </c>
      <c r="D793">
        <v>3027</v>
      </c>
      <c r="E793">
        <v>4</v>
      </c>
      <c r="F793">
        <v>23</v>
      </c>
      <c r="G793" s="4">
        <v>45603</v>
      </c>
      <c r="H793" s="5">
        <v>14711.83</v>
      </c>
    </row>
    <row r="794" spans="1:8" x14ac:dyDescent="0.3">
      <c r="A794">
        <v>4793</v>
      </c>
      <c r="B794">
        <v>1209</v>
      </c>
      <c r="C794">
        <v>2023</v>
      </c>
      <c r="D794">
        <v>3031</v>
      </c>
      <c r="E794">
        <v>3</v>
      </c>
      <c r="F794">
        <v>9</v>
      </c>
      <c r="G794" s="4">
        <v>45613</v>
      </c>
      <c r="H794" s="5">
        <v>13067.49</v>
      </c>
    </row>
    <row r="795" spans="1:8" x14ac:dyDescent="0.3">
      <c r="A795">
        <v>4794</v>
      </c>
      <c r="B795">
        <v>1228</v>
      </c>
      <c r="C795">
        <v>2016</v>
      </c>
      <c r="D795">
        <v>3011</v>
      </c>
      <c r="E795">
        <v>3</v>
      </c>
      <c r="F795">
        <v>2</v>
      </c>
      <c r="G795" s="4">
        <v>45596</v>
      </c>
      <c r="H795" s="5">
        <v>35884.97</v>
      </c>
    </row>
    <row r="796" spans="1:8" x14ac:dyDescent="0.3">
      <c r="A796">
        <v>4795</v>
      </c>
      <c r="B796">
        <v>1053</v>
      </c>
      <c r="C796">
        <v>2009</v>
      </c>
      <c r="D796">
        <v>3031</v>
      </c>
      <c r="E796">
        <v>1</v>
      </c>
      <c r="F796">
        <v>27</v>
      </c>
      <c r="G796" s="4">
        <v>45575</v>
      </c>
      <c r="H796" s="5">
        <v>8085.3</v>
      </c>
    </row>
    <row r="797" spans="1:8" x14ac:dyDescent="0.3">
      <c r="A797">
        <v>4796</v>
      </c>
      <c r="B797">
        <v>1107</v>
      </c>
      <c r="C797">
        <v>2015</v>
      </c>
      <c r="D797">
        <v>3023</v>
      </c>
      <c r="E797">
        <v>2</v>
      </c>
      <c r="F797">
        <v>8</v>
      </c>
      <c r="G797" s="4">
        <v>45610</v>
      </c>
      <c r="H797" s="5">
        <v>32560.36</v>
      </c>
    </row>
    <row r="798" spans="1:8" x14ac:dyDescent="0.3">
      <c r="A798">
        <v>4797</v>
      </c>
      <c r="B798">
        <v>1070</v>
      </c>
      <c r="C798">
        <v>2011</v>
      </c>
      <c r="D798">
        <v>3015</v>
      </c>
      <c r="E798">
        <v>4</v>
      </c>
      <c r="F798">
        <v>24</v>
      </c>
      <c r="G798" s="4">
        <v>45577</v>
      </c>
      <c r="H798" s="5">
        <v>22876.9</v>
      </c>
    </row>
    <row r="799" spans="1:8" x14ac:dyDescent="0.3">
      <c r="A799">
        <v>4798</v>
      </c>
      <c r="B799">
        <v>1259</v>
      </c>
      <c r="C799">
        <v>2003</v>
      </c>
      <c r="D799">
        <v>3003</v>
      </c>
      <c r="E799">
        <v>3</v>
      </c>
      <c r="F799">
        <v>13</v>
      </c>
      <c r="G799" s="4">
        <v>45585</v>
      </c>
      <c r="H799" s="5">
        <v>34455.730000000003</v>
      </c>
    </row>
    <row r="800" spans="1:8" x14ac:dyDescent="0.3">
      <c r="A800">
        <v>4799</v>
      </c>
      <c r="B800">
        <v>1241</v>
      </c>
      <c r="C800">
        <v>2021</v>
      </c>
      <c r="D800">
        <v>3028</v>
      </c>
      <c r="E800">
        <v>4</v>
      </c>
      <c r="F800">
        <v>1</v>
      </c>
      <c r="G800" s="4">
        <v>45596</v>
      </c>
      <c r="H800" s="5">
        <v>69879.73</v>
      </c>
    </row>
    <row r="801" spans="1:8" x14ac:dyDescent="0.3">
      <c r="A801">
        <v>4800</v>
      </c>
      <c r="B801">
        <v>1165</v>
      </c>
      <c r="C801">
        <v>2004</v>
      </c>
      <c r="D801">
        <v>3035</v>
      </c>
      <c r="E801">
        <v>4</v>
      </c>
      <c r="F801">
        <v>20</v>
      </c>
      <c r="G801" s="4">
        <v>45581</v>
      </c>
      <c r="H801" s="5">
        <v>15895.92</v>
      </c>
    </row>
    <row r="802" spans="1:8" x14ac:dyDescent="0.3">
      <c r="A802">
        <v>4801</v>
      </c>
      <c r="B802">
        <v>1227</v>
      </c>
      <c r="C802">
        <v>2009</v>
      </c>
      <c r="D802">
        <v>3029</v>
      </c>
      <c r="E802">
        <v>3</v>
      </c>
      <c r="F802">
        <v>5</v>
      </c>
      <c r="G802" s="4">
        <v>45581</v>
      </c>
      <c r="H802" s="5">
        <v>31596.63</v>
      </c>
    </row>
    <row r="803" spans="1:8" x14ac:dyDescent="0.3">
      <c r="A803">
        <v>4802</v>
      </c>
      <c r="B803">
        <v>1187</v>
      </c>
      <c r="C803">
        <v>2019</v>
      </c>
      <c r="D803">
        <v>3015</v>
      </c>
      <c r="E803">
        <v>4</v>
      </c>
      <c r="F803">
        <v>3</v>
      </c>
      <c r="G803" s="4">
        <v>45598</v>
      </c>
      <c r="H803" s="5">
        <v>52992.7</v>
      </c>
    </row>
    <row r="804" spans="1:8" x14ac:dyDescent="0.3">
      <c r="A804">
        <v>4803</v>
      </c>
      <c r="B804">
        <v>1189</v>
      </c>
      <c r="C804">
        <v>2009</v>
      </c>
      <c r="D804">
        <v>3022</v>
      </c>
      <c r="E804">
        <v>4</v>
      </c>
      <c r="F804">
        <v>18</v>
      </c>
      <c r="G804" s="4">
        <v>45602</v>
      </c>
      <c r="H804" s="5">
        <v>36136.949999999997</v>
      </c>
    </row>
    <row r="805" spans="1:8" x14ac:dyDescent="0.3">
      <c r="A805">
        <v>4804</v>
      </c>
      <c r="B805">
        <v>1150</v>
      </c>
      <c r="C805">
        <v>2012</v>
      </c>
      <c r="D805">
        <v>3024</v>
      </c>
      <c r="E805">
        <v>5</v>
      </c>
      <c r="F805">
        <v>6</v>
      </c>
      <c r="G805" s="4">
        <v>45607</v>
      </c>
      <c r="H805" s="5">
        <v>55739.3</v>
      </c>
    </row>
    <row r="806" spans="1:8" x14ac:dyDescent="0.3">
      <c r="A806">
        <v>4805</v>
      </c>
      <c r="B806">
        <v>1096</v>
      </c>
      <c r="C806">
        <v>2016</v>
      </c>
      <c r="D806">
        <v>3032</v>
      </c>
      <c r="E806">
        <v>5</v>
      </c>
      <c r="F806">
        <v>4</v>
      </c>
      <c r="G806" s="4">
        <v>45603</v>
      </c>
      <c r="H806" s="5">
        <v>58480.03</v>
      </c>
    </row>
    <row r="807" spans="1:8" x14ac:dyDescent="0.3">
      <c r="A807">
        <v>4806</v>
      </c>
      <c r="B807">
        <v>1061</v>
      </c>
      <c r="C807">
        <v>2024</v>
      </c>
      <c r="D807">
        <v>3001</v>
      </c>
      <c r="E807">
        <v>1</v>
      </c>
      <c r="F807">
        <v>10</v>
      </c>
      <c r="G807" s="4">
        <v>45599</v>
      </c>
      <c r="H807" s="5">
        <v>14626.9</v>
      </c>
    </row>
    <row r="808" spans="1:8" x14ac:dyDescent="0.3">
      <c r="A808">
        <v>4807</v>
      </c>
      <c r="B808">
        <v>1151</v>
      </c>
      <c r="C808">
        <v>2018</v>
      </c>
      <c r="D808">
        <v>3009</v>
      </c>
      <c r="E808">
        <v>5</v>
      </c>
      <c r="F808">
        <v>8</v>
      </c>
      <c r="G808" s="4">
        <v>45593</v>
      </c>
      <c r="H808" s="5">
        <v>33433.69</v>
      </c>
    </row>
    <row r="809" spans="1:8" x14ac:dyDescent="0.3">
      <c r="A809">
        <v>4808</v>
      </c>
      <c r="B809">
        <v>1023</v>
      </c>
      <c r="C809">
        <v>2007</v>
      </c>
      <c r="D809">
        <v>3006</v>
      </c>
      <c r="E809">
        <v>3</v>
      </c>
      <c r="F809">
        <v>24</v>
      </c>
      <c r="G809" s="4">
        <v>45575</v>
      </c>
      <c r="H809" s="5">
        <v>7828.49</v>
      </c>
    </row>
    <row r="810" spans="1:8" x14ac:dyDescent="0.3">
      <c r="A810">
        <v>4809</v>
      </c>
      <c r="B810">
        <v>1107</v>
      </c>
      <c r="C810">
        <v>2001</v>
      </c>
      <c r="D810">
        <v>3001</v>
      </c>
      <c r="E810">
        <v>1</v>
      </c>
      <c r="F810">
        <v>26</v>
      </c>
      <c r="G810" s="4">
        <v>45597</v>
      </c>
      <c r="H810" s="5">
        <v>5374.74</v>
      </c>
    </row>
    <row r="811" spans="1:8" x14ac:dyDescent="0.3">
      <c r="A811">
        <v>4810</v>
      </c>
      <c r="B811">
        <v>1246</v>
      </c>
      <c r="C811">
        <v>2019</v>
      </c>
      <c r="D811">
        <v>3026</v>
      </c>
      <c r="E811">
        <v>2</v>
      </c>
      <c r="F811">
        <v>16</v>
      </c>
      <c r="G811" s="4">
        <v>45604</v>
      </c>
      <c r="H811" s="5">
        <v>22764.47</v>
      </c>
    </row>
    <row r="812" spans="1:8" x14ac:dyDescent="0.3">
      <c r="A812">
        <v>4811</v>
      </c>
      <c r="B812">
        <v>1270</v>
      </c>
      <c r="C812">
        <v>2004</v>
      </c>
      <c r="D812">
        <v>3030</v>
      </c>
      <c r="E812">
        <v>1</v>
      </c>
      <c r="F812">
        <v>1</v>
      </c>
      <c r="G812" s="4">
        <v>45585</v>
      </c>
      <c r="H812" s="5">
        <v>4924.2700000000004</v>
      </c>
    </row>
    <row r="813" spans="1:8" x14ac:dyDescent="0.3">
      <c r="A813">
        <v>4812</v>
      </c>
      <c r="B813">
        <v>1277</v>
      </c>
      <c r="C813">
        <v>2022</v>
      </c>
      <c r="D813">
        <v>3001</v>
      </c>
      <c r="E813">
        <v>5</v>
      </c>
      <c r="F813">
        <v>1</v>
      </c>
      <c r="G813" s="4">
        <v>45583</v>
      </c>
      <c r="H813" s="5">
        <v>84570.29</v>
      </c>
    </row>
    <row r="814" spans="1:8" x14ac:dyDescent="0.3">
      <c r="A814">
        <v>4813</v>
      </c>
      <c r="B814">
        <v>1113</v>
      </c>
      <c r="C814">
        <v>2019</v>
      </c>
      <c r="D814">
        <v>3009</v>
      </c>
      <c r="E814">
        <v>3</v>
      </c>
      <c r="F814">
        <v>6</v>
      </c>
      <c r="G814" s="4">
        <v>45580</v>
      </c>
      <c r="H814" s="5">
        <v>38571.839999999997</v>
      </c>
    </row>
    <row r="815" spans="1:8" x14ac:dyDescent="0.3">
      <c r="A815">
        <v>4814</v>
      </c>
      <c r="B815">
        <v>1083</v>
      </c>
      <c r="C815">
        <v>2011</v>
      </c>
      <c r="D815">
        <v>3017</v>
      </c>
      <c r="E815">
        <v>4</v>
      </c>
      <c r="F815">
        <v>3</v>
      </c>
      <c r="G815" s="4">
        <v>45610</v>
      </c>
      <c r="H815" s="5">
        <v>29119.040000000001</v>
      </c>
    </row>
    <row r="816" spans="1:8" x14ac:dyDescent="0.3">
      <c r="A816">
        <v>4815</v>
      </c>
      <c r="B816">
        <v>1113</v>
      </c>
      <c r="C816">
        <v>2007</v>
      </c>
      <c r="D816">
        <v>3006</v>
      </c>
      <c r="E816">
        <v>2</v>
      </c>
      <c r="F816">
        <v>15</v>
      </c>
      <c r="G816" s="4">
        <v>45587</v>
      </c>
      <c r="H816" s="5">
        <v>5786.07</v>
      </c>
    </row>
    <row r="817" spans="1:8" x14ac:dyDescent="0.3">
      <c r="A817">
        <v>4816</v>
      </c>
      <c r="B817">
        <v>1182</v>
      </c>
      <c r="C817">
        <v>2019</v>
      </c>
      <c r="D817">
        <v>3007</v>
      </c>
      <c r="E817">
        <v>1</v>
      </c>
      <c r="F817">
        <v>25</v>
      </c>
      <c r="G817" s="4">
        <v>45575</v>
      </c>
      <c r="H817" s="5">
        <v>10170.049999999999</v>
      </c>
    </row>
    <row r="818" spans="1:8" x14ac:dyDescent="0.3">
      <c r="A818">
        <v>4817</v>
      </c>
      <c r="B818">
        <v>1079</v>
      </c>
      <c r="C818">
        <v>2015</v>
      </c>
      <c r="D818">
        <v>3006</v>
      </c>
      <c r="E818">
        <v>1</v>
      </c>
      <c r="F818">
        <v>27</v>
      </c>
      <c r="G818" s="4">
        <v>45594</v>
      </c>
      <c r="H818" s="5">
        <v>12796.35</v>
      </c>
    </row>
    <row r="819" spans="1:8" x14ac:dyDescent="0.3">
      <c r="A819">
        <v>4818</v>
      </c>
      <c r="B819">
        <v>1188</v>
      </c>
      <c r="C819">
        <v>2002</v>
      </c>
      <c r="D819">
        <v>3015</v>
      </c>
      <c r="E819">
        <v>3</v>
      </c>
      <c r="F819">
        <v>21</v>
      </c>
      <c r="G819" s="4">
        <v>45597</v>
      </c>
      <c r="H819" s="5">
        <v>22509.77</v>
      </c>
    </row>
    <row r="820" spans="1:8" x14ac:dyDescent="0.3">
      <c r="A820">
        <v>4819</v>
      </c>
      <c r="B820">
        <v>1041</v>
      </c>
      <c r="C820">
        <v>2014</v>
      </c>
      <c r="D820">
        <v>3015</v>
      </c>
      <c r="E820">
        <v>5</v>
      </c>
      <c r="F820">
        <v>19</v>
      </c>
      <c r="G820" s="4">
        <v>45600</v>
      </c>
      <c r="H820" s="5">
        <v>56045.35</v>
      </c>
    </row>
    <row r="821" spans="1:8" x14ac:dyDescent="0.3">
      <c r="A821">
        <v>4820</v>
      </c>
      <c r="B821">
        <v>1242</v>
      </c>
      <c r="C821">
        <v>2020</v>
      </c>
      <c r="D821">
        <v>3008</v>
      </c>
      <c r="E821">
        <v>1</v>
      </c>
      <c r="F821">
        <v>26</v>
      </c>
      <c r="G821" s="4">
        <v>45591</v>
      </c>
      <c r="H821" s="5">
        <v>3335.29</v>
      </c>
    </row>
    <row r="822" spans="1:8" x14ac:dyDescent="0.3">
      <c r="A822">
        <v>4821</v>
      </c>
      <c r="B822">
        <v>1046</v>
      </c>
      <c r="C822">
        <v>2020</v>
      </c>
      <c r="D822">
        <v>3010</v>
      </c>
      <c r="E822">
        <v>1</v>
      </c>
      <c r="F822">
        <v>26</v>
      </c>
      <c r="G822" s="4">
        <v>45581</v>
      </c>
      <c r="H822" s="5">
        <v>3341.58</v>
      </c>
    </row>
    <row r="823" spans="1:8" x14ac:dyDescent="0.3">
      <c r="A823">
        <v>4822</v>
      </c>
      <c r="B823">
        <v>1254</v>
      </c>
      <c r="C823">
        <v>2022</v>
      </c>
      <c r="D823">
        <v>3011</v>
      </c>
      <c r="E823">
        <v>2</v>
      </c>
      <c r="F823">
        <v>26</v>
      </c>
      <c r="G823" s="4">
        <v>45606</v>
      </c>
      <c r="H823" s="5">
        <v>25490.27</v>
      </c>
    </row>
    <row r="824" spans="1:8" x14ac:dyDescent="0.3">
      <c r="A824">
        <v>4823</v>
      </c>
      <c r="B824">
        <v>1194</v>
      </c>
      <c r="C824">
        <v>2006</v>
      </c>
      <c r="D824">
        <v>3017</v>
      </c>
      <c r="E824">
        <v>3</v>
      </c>
      <c r="F824">
        <v>23</v>
      </c>
      <c r="G824" s="4">
        <v>45615</v>
      </c>
      <c r="H824" s="5">
        <v>27710.26</v>
      </c>
    </row>
    <row r="825" spans="1:8" x14ac:dyDescent="0.3">
      <c r="A825">
        <v>4824</v>
      </c>
      <c r="B825">
        <v>1278</v>
      </c>
      <c r="C825">
        <v>2003</v>
      </c>
      <c r="D825">
        <v>3005</v>
      </c>
      <c r="E825">
        <v>1</v>
      </c>
      <c r="F825">
        <v>25</v>
      </c>
      <c r="G825" s="4">
        <v>45597</v>
      </c>
      <c r="H825" s="5">
        <v>9951.94</v>
      </c>
    </row>
    <row r="826" spans="1:8" x14ac:dyDescent="0.3">
      <c r="A826">
        <v>4825</v>
      </c>
      <c r="B826">
        <v>1121</v>
      </c>
      <c r="C826">
        <v>2020</v>
      </c>
      <c r="D826">
        <v>3009</v>
      </c>
      <c r="E826">
        <v>3</v>
      </c>
      <c r="F826">
        <v>10</v>
      </c>
      <c r="G826" s="4">
        <v>45614</v>
      </c>
      <c r="H826" s="5">
        <v>12082.56</v>
      </c>
    </row>
    <row r="827" spans="1:8" x14ac:dyDescent="0.3">
      <c r="A827">
        <v>4826</v>
      </c>
      <c r="B827">
        <v>1168</v>
      </c>
      <c r="C827">
        <v>2015</v>
      </c>
      <c r="D827">
        <v>3005</v>
      </c>
      <c r="E827">
        <v>1</v>
      </c>
      <c r="F827">
        <v>20</v>
      </c>
      <c r="G827" s="4">
        <v>45604</v>
      </c>
      <c r="H827" s="5">
        <v>14074.4</v>
      </c>
    </row>
    <row r="828" spans="1:8" x14ac:dyDescent="0.3">
      <c r="A828">
        <v>4827</v>
      </c>
      <c r="B828">
        <v>1118</v>
      </c>
      <c r="C828">
        <v>2007</v>
      </c>
      <c r="D828">
        <v>3027</v>
      </c>
      <c r="E828">
        <v>5</v>
      </c>
      <c r="F828">
        <v>21</v>
      </c>
      <c r="G828" s="4">
        <v>45607</v>
      </c>
      <c r="H828" s="5">
        <v>13451.81</v>
      </c>
    </row>
    <row r="829" spans="1:8" x14ac:dyDescent="0.3">
      <c r="A829">
        <v>4828</v>
      </c>
      <c r="B829">
        <v>1061</v>
      </c>
      <c r="C829">
        <v>2023</v>
      </c>
      <c r="D829">
        <v>3014</v>
      </c>
      <c r="E829">
        <v>4</v>
      </c>
      <c r="F829">
        <v>30</v>
      </c>
      <c r="G829" s="4">
        <v>45590</v>
      </c>
      <c r="H829" s="5">
        <v>13455.8</v>
      </c>
    </row>
    <row r="830" spans="1:8" x14ac:dyDescent="0.3">
      <c r="A830">
        <v>4829</v>
      </c>
      <c r="B830">
        <v>1213</v>
      </c>
      <c r="C830">
        <v>2023</v>
      </c>
      <c r="D830">
        <v>3009</v>
      </c>
      <c r="E830">
        <v>1</v>
      </c>
      <c r="F830">
        <v>25</v>
      </c>
      <c r="G830" s="4">
        <v>45584</v>
      </c>
      <c r="H830" s="5">
        <v>3580.16</v>
      </c>
    </row>
    <row r="831" spans="1:8" x14ac:dyDescent="0.3">
      <c r="A831">
        <v>4830</v>
      </c>
      <c r="B831">
        <v>1134</v>
      </c>
      <c r="C831">
        <v>2025</v>
      </c>
      <c r="D831">
        <v>3023</v>
      </c>
      <c r="E831">
        <v>3</v>
      </c>
      <c r="F831">
        <v>7</v>
      </c>
      <c r="G831" s="4">
        <v>45593</v>
      </c>
      <c r="H831" s="5">
        <v>47498.33</v>
      </c>
    </row>
    <row r="832" spans="1:8" x14ac:dyDescent="0.3">
      <c r="A832">
        <v>4831</v>
      </c>
      <c r="B832">
        <v>1144</v>
      </c>
      <c r="C832">
        <v>2025</v>
      </c>
      <c r="D832">
        <v>3016</v>
      </c>
      <c r="E832">
        <v>3</v>
      </c>
      <c r="F832">
        <v>11</v>
      </c>
      <c r="G832" s="4">
        <v>45593</v>
      </c>
      <c r="H832" s="5">
        <v>45665.38</v>
      </c>
    </row>
    <row r="833" spans="1:8" x14ac:dyDescent="0.3">
      <c r="A833">
        <v>4832</v>
      </c>
      <c r="B833">
        <v>1162</v>
      </c>
      <c r="C833">
        <v>2004</v>
      </c>
      <c r="D833">
        <v>3001</v>
      </c>
      <c r="E833">
        <v>3</v>
      </c>
      <c r="F833">
        <v>17</v>
      </c>
      <c r="G833" s="4">
        <v>45608</v>
      </c>
      <c r="H833" s="5">
        <v>12302.25</v>
      </c>
    </row>
    <row r="834" spans="1:8" x14ac:dyDescent="0.3">
      <c r="A834">
        <v>4833</v>
      </c>
      <c r="B834">
        <v>1224</v>
      </c>
      <c r="C834">
        <v>2019</v>
      </c>
      <c r="D834">
        <v>3021</v>
      </c>
      <c r="E834">
        <v>2</v>
      </c>
      <c r="F834">
        <v>15</v>
      </c>
      <c r="G834" s="4">
        <v>45611</v>
      </c>
      <c r="H834" s="5">
        <v>23175.79</v>
      </c>
    </row>
    <row r="835" spans="1:8" x14ac:dyDescent="0.3">
      <c r="A835">
        <v>4834</v>
      </c>
      <c r="B835">
        <v>1030</v>
      </c>
      <c r="C835">
        <v>2016</v>
      </c>
      <c r="D835">
        <v>3031</v>
      </c>
      <c r="E835">
        <v>2</v>
      </c>
      <c r="F835">
        <v>0</v>
      </c>
      <c r="G835" s="4">
        <v>45606</v>
      </c>
      <c r="H835" s="5">
        <v>24364.03</v>
      </c>
    </row>
    <row r="836" spans="1:8" x14ac:dyDescent="0.3">
      <c r="A836">
        <v>4835</v>
      </c>
      <c r="B836">
        <v>1282</v>
      </c>
      <c r="C836">
        <v>2011</v>
      </c>
      <c r="D836">
        <v>3019</v>
      </c>
      <c r="E836">
        <v>1</v>
      </c>
      <c r="F836">
        <v>20</v>
      </c>
      <c r="G836" s="4">
        <v>45577</v>
      </c>
      <c r="H836" s="5">
        <v>5988.54</v>
      </c>
    </row>
    <row r="837" spans="1:8" x14ac:dyDescent="0.3">
      <c r="A837">
        <v>4836</v>
      </c>
      <c r="B837">
        <v>1046</v>
      </c>
      <c r="C837">
        <v>2015</v>
      </c>
      <c r="D837">
        <v>3021</v>
      </c>
      <c r="E837">
        <v>5</v>
      </c>
      <c r="F837">
        <v>21</v>
      </c>
      <c r="G837" s="4">
        <v>45575</v>
      </c>
      <c r="H837" s="5">
        <v>69412.570000000007</v>
      </c>
    </row>
    <row r="838" spans="1:8" x14ac:dyDescent="0.3">
      <c r="A838">
        <v>4837</v>
      </c>
      <c r="B838">
        <v>1095</v>
      </c>
      <c r="C838">
        <v>2025</v>
      </c>
      <c r="D838">
        <v>3014</v>
      </c>
      <c r="E838">
        <v>4</v>
      </c>
      <c r="F838">
        <v>25</v>
      </c>
      <c r="G838" s="4">
        <v>45577</v>
      </c>
      <c r="H838" s="5">
        <v>51193.15</v>
      </c>
    </row>
    <row r="839" spans="1:8" x14ac:dyDescent="0.3">
      <c r="A839">
        <v>4838</v>
      </c>
      <c r="B839">
        <v>1195</v>
      </c>
      <c r="C839">
        <v>2004</v>
      </c>
      <c r="D839">
        <v>3001</v>
      </c>
      <c r="E839">
        <v>4</v>
      </c>
      <c r="F839">
        <v>17</v>
      </c>
      <c r="G839" s="4">
        <v>45609</v>
      </c>
      <c r="H839" s="5">
        <v>16408.95</v>
      </c>
    </row>
    <row r="840" spans="1:8" x14ac:dyDescent="0.3">
      <c r="A840">
        <v>4839</v>
      </c>
      <c r="B840">
        <v>1136</v>
      </c>
      <c r="C840">
        <v>2025</v>
      </c>
      <c r="D840">
        <v>3009</v>
      </c>
      <c r="E840">
        <v>5</v>
      </c>
      <c r="F840">
        <v>21</v>
      </c>
      <c r="G840" s="4">
        <v>45609</v>
      </c>
      <c r="H840" s="5">
        <v>67607.98</v>
      </c>
    </row>
    <row r="841" spans="1:8" x14ac:dyDescent="0.3">
      <c r="A841">
        <v>4840</v>
      </c>
      <c r="B841">
        <v>1102</v>
      </c>
      <c r="C841">
        <v>2004</v>
      </c>
      <c r="D841">
        <v>3010</v>
      </c>
      <c r="E841">
        <v>5</v>
      </c>
      <c r="F841">
        <v>19</v>
      </c>
      <c r="G841" s="4">
        <v>45606</v>
      </c>
      <c r="H841" s="5">
        <v>20176.919999999998</v>
      </c>
    </row>
    <row r="842" spans="1:8" x14ac:dyDescent="0.3">
      <c r="A842">
        <v>4841</v>
      </c>
      <c r="B842">
        <v>1248</v>
      </c>
      <c r="C842">
        <v>2024</v>
      </c>
      <c r="D842">
        <v>3016</v>
      </c>
      <c r="E842">
        <v>3</v>
      </c>
      <c r="F842">
        <v>23</v>
      </c>
      <c r="G842" s="4">
        <v>45585</v>
      </c>
      <c r="H842" s="5">
        <v>37529.74</v>
      </c>
    </row>
    <row r="843" spans="1:8" x14ac:dyDescent="0.3">
      <c r="A843">
        <v>4842</v>
      </c>
      <c r="B843">
        <v>1233</v>
      </c>
      <c r="C843">
        <v>2012</v>
      </c>
      <c r="D843">
        <v>3022</v>
      </c>
      <c r="E843">
        <v>2</v>
      </c>
      <c r="F843">
        <v>5</v>
      </c>
      <c r="G843" s="4">
        <v>45598</v>
      </c>
      <c r="H843" s="5">
        <v>22516.45</v>
      </c>
    </row>
    <row r="844" spans="1:8" x14ac:dyDescent="0.3">
      <c r="A844">
        <v>4843</v>
      </c>
      <c r="B844">
        <v>1074</v>
      </c>
      <c r="C844">
        <v>2022</v>
      </c>
      <c r="D844">
        <v>3031</v>
      </c>
      <c r="E844">
        <v>5</v>
      </c>
      <c r="F844">
        <v>12</v>
      </c>
      <c r="G844" s="4">
        <v>45616</v>
      </c>
      <c r="H844" s="5">
        <v>75455.600000000006</v>
      </c>
    </row>
    <row r="845" spans="1:8" x14ac:dyDescent="0.3">
      <c r="A845">
        <v>4844</v>
      </c>
      <c r="B845">
        <v>1120</v>
      </c>
      <c r="C845">
        <v>2018</v>
      </c>
      <c r="D845">
        <v>3018</v>
      </c>
      <c r="E845">
        <v>4</v>
      </c>
      <c r="F845">
        <v>19</v>
      </c>
      <c r="G845" s="4">
        <v>45606</v>
      </c>
      <c r="H845" s="5">
        <v>23455.73</v>
      </c>
    </row>
    <row r="846" spans="1:8" x14ac:dyDescent="0.3">
      <c r="A846">
        <v>4845</v>
      </c>
      <c r="B846">
        <v>1050</v>
      </c>
      <c r="C846">
        <v>2006</v>
      </c>
      <c r="D846">
        <v>3033</v>
      </c>
      <c r="E846">
        <v>5</v>
      </c>
      <c r="F846">
        <v>22</v>
      </c>
      <c r="G846" s="4">
        <v>45591</v>
      </c>
      <c r="H846" s="5">
        <v>47070.18</v>
      </c>
    </row>
    <row r="847" spans="1:8" x14ac:dyDescent="0.3">
      <c r="A847">
        <v>4846</v>
      </c>
      <c r="B847">
        <v>1127</v>
      </c>
      <c r="C847">
        <v>2013</v>
      </c>
      <c r="D847">
        <v>3018</v>
      </c>
      <c r="E847">
        <v>5</v>
      </c>
      <c r="F847">
        <v>21</v>
      </c>
      <c r="G847" s="4">
        <v>45612</v>
      </c>
      <c r="H847" s="5">
        <v>46639.69</v>
      </c>
    </row>
    <row r="848" spans="1:8" x14ac:dyDescent="0.3">
      <c r="A848">
        <v>4847</v>
      </c>
      <c r="B848">
        <v>1017</v>
      </c>
      <c r="C848">
        <v>2012</v>
      </c>
      <c r="D848">
        <v>3013</v>
      </c>
      <c r="E848">
        <v>4</v>
      </c>
      <c r="F848">
        <v>26</v>
      </c>
      <c r="G848" s="4">
        <v>45612</v>
      </c>
      <c r="H848" s="5">
        <v>35287.71</v>
      </c>
    </row>
    <row r="849" spans="1:8" x14ac:dyDescent="0.3">
      <c r="A849">
        <v>4848</v>
      </c>
      <c r="B849">
        <v>1103</v>
      </c>
      <c r="C849">
        <v>2015</v>
      </c>
      <c r="D849">
        <v>3022</v>
      </c>
      <c r="E849">
        <v>3</v>
      </c>
      <c r="F849">
        <v>3</v>
      </c>
      <c r="G849" s="4">
        <v>45576</v>
      </c>
      <c r="H849" s="5">
        <v>51317.42</v>
      </c>
    </row>
    <row r="850" spans="1:8" x14ac:dyDescent="0.3">
      <c r="A850">
        <v>4849</v>
      </c>
      <c r="B850">
        <v>1226</v>
      </c>
      <c r="C850">
        <v>2014</v>
      </c>
      <c r="D850">
        <v>3030</v>
      </c>
      <c r="E850">
        <v>5</v>
      </c>
      <c r="F850">
        <v>21</v>
      </c>
      <c r="G850" s="4">
        <v>45603</v>
      </c>
      <c r="H850" s="5">
        <v>54317.48</v>
      </c>
    </row>
    <row r="851" spans="1:8" x14ac:dyDescent="0.3">
      <c r="A851">
        <v>4850</v>
      </c>
      <c r="B851">
        <v>1246</v>
      </c>
      <c r="C851">
        <v>2001</v>
      </c>
      <c r="D851">
        <v>3007</v>
      </c>
      <c r="E851">
        <v>3</v>
      </c>
      <c r="F851">
        <v>14</v>
      </c>
      <c r="G851" s="4">
        <v>45593</v>
      </c>
      <c r="H851" s="5">
        <v>18589.689999999999</v>
      </c>
    </row>
    <row r="852" spans="1:8" x14ac:dyDescent="0.3">
      <c r="A852">
        <v>4851</v>
      </c>
      <c r="B852">
        <v>1275</v>
      </c>
      <c r="C852">
        <v>2016</v>
      </c>
      <c r="D852">
        <v>3034</v>
      </c>
      <c r="E852">
        <v>4</v>
      </c>
      <c r="F852">
        <v>24</v>
      </c>
      <c r="G852" s="4">
        <v>45584</v>
      </c>
      <c r="H852" s="5">
        <v>37171.61</v>
      </c>
    </row>
    <row r="853" spans="1:8" x14ac:dyDescent="0.3">
      <c r="A853">
        <v>4852</v>
      </c>
      <c r="B853">
        <v>1207</v>
      </c>
      <c r="C853">
        <v>2024</v>
      </c>
      <c r="D853">
        <v>3016</v>
      </c>
      <c r="E853">
        <v>2</v>
      </c>
      <c r="F853">
        <v>4</v>
      </c>
      <c r="G853" s="4">
        <v>45582</v>
      </c>
      <c r="H853" s="5">
        <v>31193.42</v>
      </c>
    </row>
    <row r="854" spans="1:8" x14ac:dyDescent="0.3">
      <c r="A854">
        <v>4853</v>
      </c>
      <c r="B854">
        <v>1193</v>
      </c>
      <c r="C854">
        <v>2015</v>
      </c>
      <c r="D854">
        <v>3008</v>
      </c>
      <c r="E854">
        <v>1</v>
      </c>
      <c r="F854">
        <v>1</v>
      </c>
      <c r="G854" s="4">
        <v>45590</v>
      </c>
      <c r="H854" s="5">
        <v>17443.8</v>
      </c>
    </row>
    <row r="855" spans="1:8" x14ac:dyDescent="0.3">
      <c r="A855">
        <v>4854</v>
      </c>
      <c r="B855">
        <v>1246</v>
      </c>
      <c r="C855">
        <v>2019</v>
      </c>
      <c r="D855">
        <v>3019</v>
      </c>
      <c r="E855">
        <v>3</v>
      </c>
      <c r="F855">
        <v>28</v>
      </c>
      <c r="G855" s="4">
        <v>45579</v>
      </c>
      <c r="H855" s="5">
        <v>29321.14</v>
      </c>
    </row>
    <row r="856" spans="1:8" x14ac:dyDescent="0.3">
      <c r="A856">
        <v>4855</v>
      </c>
      <c r="B856">
        <v>1078</v>
      </c>
      <c r="C856">
        <v>2018</v>
      </c>
      <c r="D856">
        <v>3004</v>
      </c>
      <c r="E856">
        <v>2</v>
      </c>
      <c r="F856">
        <v>22</v>
      </c>
      <c r="G856" s="4">
        <v>45606</v>
      </c>
      <c r="H856" s="5">
        <v>11268.66</v>
      </c>
    </row>
    <row r="857" spans="1:8" x14ac:dyDescent="0.3">
      <c r="A857">
        <v>4856</v>
      </c>
      <c r="B857">
        <v>1234</v>
      </c>
      <c r="C857">
        <v>2004</v>
      </c>
      <c r="D857">
        <v>3003</v>
      </c>
      <c r="E857">
        <v>5</v>
      </c>
      <c r="F857">
        <v>13</v>
      </c>
      <c r="G857" s="4">
        <v>45584</v>
      </c>
      <c r="H857" s="5">
        <v>21575.86</v>
      </c>
    </row>
    <row r="858" spans="1:8" x14ac:dyDescent="0.3">
      <c r="A858">
        <v>4857</v>
      </c>
      <c r="B858">
        <v>1209</v>
      </c>
      <c r="C858">
        <v>2022</v>
      </c>
      <c r="D858">
        <v>3013</v>
      </c>
      <c r="E858">
        <v>5</v>
      </c>
      <c r="F858">
        <v>22</v>
      </c>
      <c r="G858" s="4">
        <v>45614</v>
      </c>
      <c r="H858" s="5">
        <v>66555.27</v>
      </c>
    </row>
    <row r="859" spans="1:8" x14ac:dyDescent="0.3">
      <c r="A859">
        <v>4858</v>
      </c>
      <c r="B859">
        <v>1208</v>
      </c>
      <c r="C859">
        <v>2022</v>
      </c>
      <c r="D859">
        <v>3033</v>
      </c>
      <c r="E859">
        <v>1</v>
      </c>
      <c r="F859">
        <v>23</v>
      </c>
      <c r="G859" s="4">
        <v>45583</v>
      </c>
      <c r="H859" s="5">
        <v>13220.16</v>
      </c>
    </row>
    <row r="860" spans="1:8" x14ac:dyDescent="0.3">
      <c r="A860">
        <v>4859</v>
      </c>
      <c r="B860">
        <v>1127</v>
      </c>
      <c r="C860">
        <v>2011</v>
      </c>
      <c r="D860">
        <v>3006</v>
      </c>
      <c r="E860">
        <v>3</v>
      </c>
      <c r="F860">
        <v>25</v>
      </c>
      <c r="G860" s="4">
        <v>45608</v>
      </c>
      <c r="H860" s="5">
        <v>16856.939999999999</v>
      </c>
    </row>
    <row r="861" spans="1:8" x14ac:dyDescent="0.3">
      <c r="A861">
        <v>4860</v>
      </c>
      <c r="B861">
        <v>1242</v>
      </c>
      <c r="C861">
        <v>2008</v>
      </c>
      <c r="D861">
        <v>3026</v>
      </c>
      <c r="E861">
        <v>4</v>
      </c>
      <c r="F861">
        <v>20</v>
      </c>
      <c r="G861" s="4">
        <v>45578</v>
      </c>
      <c r="H861" s="5">
        <v>6793.33</v>
      </c>
    </row>
    <row r="862" spans="1:8" x14ac:dyDescent="0.3">
      <c r="A862">
        <v>4861</v>
      </c>
      <c r="B862">
        <v>1018</v>
      </c>
      <c r="C862">
        <v>2011</v>
      </c>
      <c r="D862">
        <v>3035</v>
      </c>
      <c r="E862">
        <v>1</v>
      </c>
      <c r="F862">
        <v>8</v>
      </c>
      <c r="G862" s="4">
        <v>45593</v>
      </c>
      <c r="H862" s="5">
        <v>6868.31</v>
      </c>
    </row>
    <row r="863" spans="1:8" x14ac:dyDescent="0.3">
      <c r="A863">
        <v>4862</v>
      </c>
      <c r="B863">
        <v>1193</v>
      </c>
      <c r="C863">
        <v>2006</v>
      </c>
      <c r="D863">
        <v>3032</v>
      </c>
      <c r="E863">
        <v>3</v>
      </c>
      <c r="F863">
        <v>19</v>
      </c>
      <c r="G863" s="4">
        <v>45586</v>
      </c>
      <c r="H863" s="5">
        <v>29432.43</v>
      </c>
    </row>
    <row r="864" spans="1:8" x14ac:dyDescent="0.3">
      <c r="A864">
        <v>4863</v>
      </c>
      <c r="B864">
        <v>1196</v>
      </c>
      <c r="C864">
        <v>2017</v>
      </c>
      <c r="D864">
        <v>3002</v>
      </c>
      <c r="E864">
        <v>2</v>
      </c>
      <c r="F864">
        <v>28</v>
      </c>
      <c r="G864" s="4">
        <v>45589</v>
      </c>
      <c r="H864" s="5">
        <v>11725.63</v>
      </c>
    </row>
    <row r="865" spans="1:8" x14ac:dyDescent="0.3">
      <c r="A865">
        <v>4864</v>
      </c>
      <c r="B865">
        <v>1128</v>
      </c>
      <c r="C865">
        <v>2004</v>
      </c>
      <c r="D865">
        <v>3028</v>
      </c>
      <c r="E865">
        <v>2</v>
      </c>
      <c r="F865">
        <v>12</v>
      </c>
      <c r="G865" s="4">
        <v>45590</v>
      </c>
      <c r="H865" s="5">
        <v>8695.7099999999991</v>
      </c>
    </row>
    <row r="866" spans="1:8" x14ac:dyDescent="0.3">
      <c r="A866">
        <v>4865</v>
      </c>
      <c r="B866">
        <v>1175</v>
      </c>
      <c r="C866">
        <v>2007</v>
      </c>
      <c r="D866">
        <v>3006</v>
      </c>
      <c r="E866">
        <v>4</v>
      </c>
      <c r="F866">
        <v>18</v>
      </c>
      <c r="G866" s="4">
        <v>45601</v>
      </c>
      <c r="H866" s="5">
        <v>11239.13</v>
      </c>
    </row>
    <row r="867" spans="1:8" x14ac:dyDescent="0.3">
      <c r="A867">
        <v>4866</v>
      </c>
      <c r="B867">
        <v>1078</v>
      </c>
      <c r="C867">
        <v>2001</v>
      </c>
      <c r="D867">
        <v>3001</v>
      </c>
      <c r="E867">
        <v>5</v>
      </c>
      <c r="F867">
        <v>7</v>
      </c>
      <c r="G867" s="4">
        <v>45588</v>
      </c>
      <c r="H867" s="5">
        <v>33617.43</v>
      </c>
    </row>
    <row r="868" spans="1:8" x14ac:dyDescent="0.3">
      <c r="A868">
        <v>4867</v>
      </c>
      <c r="B868">
        <v>1131</v>
      </c>
      <c r="C868">
        <v>2011</v>
      </c>
      <c r="D868">
        <v>3022</v>
      </c>
      <c r="E868">
        <v>4</v>
      </c>
      <c r="F868">
        <v>12</v>
      </c>
      <c r="G868" s="4">
        <v>45585</v>
      </c>
      <c r="H868" s="5">
        <v>26285.24</v>
      </c>
    </row>
    <row r="869" spans="1:8" x14ac:dyDescent="0.3">
      <c r="A869">
        <v>4868</v>
      </c>
      <c r="B869">
        <v>1276</v>
      </c>
      <c r="C869">
        <v>2002</v>
      </c>
      <c r="D869">
        <v>3029</v>
      </c>
      <c r="E869">
        <v>3</v>
      </c>
      <c r="F869">
        <v>1</v>
      </c>
      <c r="G869" s="4">
        <v>45610</v>
      </c>
      <c r="H869" s="5">
        <v>28253.06</v>
      </c>
    </row>
    <row r="870" spans="1:8" x14ac:dyDescent="0.3">
      <c r="A870">
        <v>4869</v>
      </c>
      <c r="B870">
        <v>1290</v>
      </c>
      <c r="C870">
        <v>2001</v>
      </c>
      <c r="D870">
        <v>3027</v>
      </c>
      <c r="E870">
        <v>3</v>
      </c>
      <c r="F870">
        <v>28</v>
      </c>
      <c r="G870" s="4">
        <v>45580</v>
      </c>
      <c r="H870" s="5">
        <v>15640.67</v>
      </c>
    </row>
    <row r="871" spans="1:8" x14ac:dyDescent="0.3">
      <c r="A871">
        <v>4870</v>
      </c>
      <c r="B871">
        <v>1259</v>
      </c>
      <c r="C871">
        <v>2024</v>
      </c>
      <c r="D871">
        <v>3023</v>
      </c>
      <c r="E871">
        <v>2</v>
      </c>
      <c r="F871">
        <v>14</v>
      </c>
      <c r="G871" s="4">
        <v>45606</v>
      </c>
      <c r="H871" s="5">
        <v>27961.8</v>
      </c>
    </row>
    <row r="872" spans="1:8" x14ac:dyDescent="0.3">
      <c r="A872">
        <v>4871</v>
      </c>
      <c r="B872">
        <v>1078</v>
      </c>
      <c r="C872">
        <v>2021</v>
      </c>
      <c r="D872">
        <v>3008</v>
      </c>
      <c r="E872">
        <v>5</v>
      </c>
      <c r="F872">
        <v>22</v>
      </c>
      <c r="G872" s="4">
        <v>45584</v>
      </c>
      <c r="H872" s="5">
        <v>68312.820000000007</v>
      </c>
    </row>
    <row r="873" spans="1:8" x14ac:dyDescent="0.3">
      <c r="A873">
        <v>4872</v>
      </c>
      <c r="B873">
        <v>1171</v>
      </c>
      <c r="C873">
        <v>2011</v>
      </c>
      <c r="D873">
        <v>3035</v>
      </c>
      <c r="E873">
        <v>1</v>
      </c>
      <c r="F873">
        <v>25</v>
      </c>
      <c r="G873" s="4">
        <v>45608</v>
      </c>
      <c r="H873" s="5">
        <v>5632.44</v>
      </c>
    </row>
    <row r="874" spans="1:8" x14ac:dyDescent="0.3">
      <c r="A874">
        <v>4873</v>
      </c>
      <c r="B874">
        <v>1042</v>
      </c>
      <c r="C874">
        <v>2017</v>
      </c>
      <c r="D874">
        <v>3018</v>
      </c>
      <c r="E874">
        <v>1</v>
      </c>
      <c r="F874">
        <v>13</v>
      </c>
      <c r="G874" s="4">
        <v>45613</v>
      </c>
      <c r="H874" s="5">
        <v>7123.46</v>
      </c>
    </row>
    <row r="875" spans="1:8" x14ac:dyDescent="0.3">
      <c r="A875">
        <v>4874</v>
      </c>
      <c r="B875">
        <v>1212</v>
      </c>
      <c r="C875">
        <v>2025</v>
      </c>
      <c r="D875">
        <v>3025</v>
      </c>
      <c r="E875">
        <v>4</v>
      </c>
      <c r="F875">
        <v>2</v>
      </c>
      <c r="G875" s="4">
        <v>45600</v>
      </c>
      <c r="H875" s="5">
        <v>66911.899999999994</v>
      </c>
    </row>
    <row r="876" spans="1:8" x14ac:dyDescent="0.3">
      <c r="A876">
        <v>4875</v>
      </c>
      <c r="B876">
        <v>1001</v>
      </c>
      <c r="C876">
        <v>2008</v>
      </c>
      <c r="D876">
        <v>3032</v>
      </c>
      <c r="E876">
        <v>5</v>
      </c>
      <c r="F876">
        <v>15</v>
      </c>
      <c r="G876" s="4">
        <v>45594</v>
      </c>
      <c r="H876" s="5">
        <v>9124.99</v>
      </c>
    </row>
    <row r="877" spans="1:8" x14ac:dyDescent="0.3">
      <c r="A877">
        <v>4876</v>
      </c>
      <c r="B877">
        <v>1290</v>
      </c>
      <c r="C877">
        <v>2011</v>
      </c>
      <c r="D877">
        <v>3022</v>
      </c>
      <c r="E877">
        <v>3</v>
      </c>
      <c r="F877">
        <v>1</v>
      </c>
      <c r="G877" s="4">
        <v>45603</v>
      </c>
      <c r="H877" s="5">
        <v>22146.75</v>
      </c>
    </row>
    <row r="878" spans="1:8" x14ac:dyDescent="0.3">
      <c r="A878">
        <v>4877</v>
      </c>
      <c r="B878">
        <v>1244</v>
      </c>
      <c r="C878">
        <v>2002</v>
      </c>
      <c r="D878">
        <v>3016</v>
      </c>
      <c r="E878">
        <v>4</v>
      </c>
      <c r="F878">
        <v>28</v>
      </c>
      <c r="G878" s="4">
        <v>45607</v>
      </c>
      <c r="H878" s="5">
        <v>27572.33</v>
      </c>
    </row>
    <row r="879" spans="1:8" x14ac:dyDescent="0.3">
      <c r="A879">
        <v>4878</v>
      </c>
      <c r="B879">
        <v>1204</v>
      </c>
      <c r="C879">
        <v>2013</v>
      </c>
      <c r="D879">
        <v>3020</v>
      </c>
      <c r="E879">
        <v>3</v>
      </c>
      <c r="F879">
        <v>28</v>
      </c>
      <c r="G879" s="4">
        <v>45579</v>
      </c>
      <c r="H879" s="5">
        <v>25432.400000000001</v>
      </c>
    </row>
    <row r="880" spans="1:8" x14ac:dyDescent="0.3">
      <c r="A880">
        <v>4879</v>
      </c>
      <c r="B880">
        <v>1108</v>
      </c>
      <c r="C880">
        <v>2003</v>
      </c>
      <c r="D880">
        <v>3001</v>
      </c>
      <c r="E880">
        <v>5</v>
      </c>
      <c r="F880">
        <v>2</v>
      </c>
      <c r="G880" s="4">
        <v>45588</v>
      </c>
      <c r="H880" s="5">
        <v>65178.82</v>
      </c>
    </row>
    <row r="881" spans="1:8" x14ac:dyDescent="0.3">
      <c r="A881">
        <v>4880</v>
      </c>
      <c r="B881">
        <v>1081</v>
      </c>
      <c r="C881">
        <v>2010</v>
      </c>
      <c r="D881">
        <v>3028</v>
      </c>
      <c r="E881">
        <v>4</v>
      </c>
      <c r="F881">
        <v>27</v>
      </c>
      <c r="G881" s="4">
        <v>45578</v>
      </c>
      <c r="H881" s="5">
        <v>52451.88</v>
      </c>
    </row>
    <row r="882" spans="1:8" x14ac:dyDescent="0.3">
      <c r="A882">
        <v>4881</v>
      </c>
      <c r="B882">
        <v>1294</v>
      </c>
      <c r="C882">
        <v>2019</v>
      </c>
      <c r="D882">
        <v>3034</v>
      </c>
      <c r="E882">
        <v>4</v>
      </c>
      <c r="F882">
        <v>28</v>
      </c>
      <c r="G882" s="4">
        <v>45581</v>
      </c>
      <c r="H882" s="5">
        <v>39165.67</v>
      </c>
    </row>
    <row r="883" spans="1:8" x14ac:dyDescent="0.3">
      <c r="A883">
        <v>4882</v>
      </c>
      <c r="B883">
        <v>1152</v>
      </c>
      <c r="C883">
        <v>2005</v>
      </c>
      <c r="D883">
        <v>3014</v>
      </c>
      <c r="E883">
        <v>4</v>
      </c>
      <c r="F883">
        <v>15</v>
      </c>
      <c r="G883" s="4">
        <v>45598</v>
      </c>
      <c r="H883" s="5">
        <v>12947.83</v>
      </c>
    </row>
    <row r="884" spans="1:8" x14ac:dyDescent="0.3">
      <c r="A884">
        <v>4883</v>
      </c>
      <c r="B884">
        <v>1122</v>
      </c>
      <c r="C884">
        <v>2019</v>
      </c>
      <c r="D884">
        <v>3023</v>
      </c>
      <c r="E884">
        <v>4</v>
      </c>
      <c r="F884">
        <v>13</v>
      </c>
      <c r="G884" s="4">
        <v>45595</v>
      </c>
      <c r="H884" s="5">
        <v>47196.02</v>
      </c>
    </row>
    <row r="885" spans="1:8" x14ac:dyDescent="0.3">
      <c r="A885">
        <v>4884</v>
      </c>
      <c r="B885">
        <v>1186</v>
      </c>
      <c r="C885">
        <v>2011</v>
      </c>
      <c r="D885">
        <v>3015</v>
      </c>
      <c r="E885">
        <v>2</v>
      </c>
      <c r="F885">
        <v>6</v>
      </c>
      <c r="G885" s="4">
        <v>45615</v>
      </c>
      <c r="H885" s="5">
        <v>14041.84</v>
      </c>
    </row>
    <row r="886" spans="1:8" x14ac:dyDescent="0.3">
      <c r="A886">
        <v>4885</v>
      </c>
      <c r="B886">
        <v>1162</v>
      </c>
      <c r="C886">
        <v>2009</v>
      </c>
      <c r="D886">
        <v>3032</v>
      </c>
      <c r="E886">
        <v>1</v>
      </c>
      <c r="F886">
        <v>3</v>
      </c>
      <c r="G886" s="4">
        <v>45585</v>
      </c>
      <c r="H886" s="5">
        <v>10713.38</v>
      </c>
    </row>
    <row r="887" spans="1:8" x14ac:dyDescent="0.3">
      <c r="A887">
        <v>4886</v>
      </c>
      <c r="B887">
        <v>1204</v>
      </c>
      <c r="C887">
        <v>2001</v>
      </c>
      <c r="D887">
        <v>3035</v>
      </c>
      <c r="E887">
        <v>1</v>
      </c>
      <c r="F887">
        <v>13</v>
      </c>
      <c r="G887" s="4">
        <v>45579</v>
      </c>
      <c r="H887" s="5">
        <v>6294.14</v>
      </c>
    </row>
    <row r="888" spans="1:8" x14ac:dyDescent="0.3">
      <c r="A888">
        <v>4887</v>
      </c>
      <c r="B888">
        <v>1170</v>
      </c>
      <c r="C888">
        <v>2007</v>
      </c>
      <c r="D888">
        <v>3025</v>
      </c>
      <c r="E888">
        <v>2</v>
      </c>
      <c r="F888">
        <v>21</v>
      </c>
      <c r="G888" s="4">
        <v>45616</v>
      </c>
      <c r="H888" s="5">
        <v>5377.99</v>
      </c>
    </row>
    <row r="889" spans="1:8" x14ac:dyDescent="0.3">
      <c r="A889">
        <v>4888</v>
      </c>
      <c r="B889">
        <v>1083</v>
      </c>
      <c r="C889">
        <v>2014</v>
      </c>
      <c r="D889">
        <v>3021</v>
      </c>
      <c r="E889">
        <v>3</v>
      </c>
      <c r="F889">
        <v>6</v>
      </c>
      <c r="G889" s="4">
        <v>45616</v>
      </c>
      <c r="H889" s="5">
        <v>38980.86</v>
      </c>
    </row>
    <row r="890" spans="1:8" x14ac:dyDescent="0.3">
      <c r="A890">
        <v>4889</v>
      </c>
      <c r="B890">
        <v>1172</v>
      </c>
      <c r="C890">
        <v>2025</v>
      </c>
      <c r="D890">
        <v>3024</v>
      </c>
      <c r="E890">
        <v>2</v>
      </c>
      <c r="F890">
        <v>6</v>
      </c>
      <c r="G890" s="4">
        <v>45610</v>
      </c>
      <c r="H890" s="5">
        <v>32019.55</v>
      </c>
    </row>
    <row r="891" spans="1:8" x14ac:dyDescent="0.3">
      <c r="A891">
        <v>4890</v>
      </c>
      <c r="B891">
        <v>1012</v>
      </c>
      <c r="C891">
        <v>2010</v>
      </c>
      <c r="D891">
        <v>3002</v>
      </c>
      <c r="E891">
        <v>3</v>
      </c>
      <c r="F891">
        <v>1</v>
      </c>
      <c r="G891" s="4">
        <v>45582</v>
      </c>
      <c r="H891" s="5">
        <v>52985.57</v>
      </c>
    </row>
    <row r="892" spans="1:8" x14ac:dyDescent="0.3">
      <c r="A892">
        <v>4891</v>
      </c>
      <c r="B892">
        <v>1290</v>
      </c>
      <c r="C892">
        <v>2022</v>
      </c>
      <c r="D892">
        <v>3026</v>
      </c>
      <c r="E892">
        <v>2</v>
      </c>
      <c r="F892">
        <v>23</v>
      </c>
      <c r="G892" s="4">
        <v>45611</v>
      </c>
      <c r="H892" s="5">
        <v>26478.06</v>
      </c>
    </row>
    <row r="893" spans="1:8" x14ac:dyDescent="0.3">
      <c r="A893">
        <v>4892</v>
      </c>
      <c r="B893">
        <v>1194</v>
      </c>
      <c r="C893">
        <v>2023</v>
      </c>
      <c r="D893">
        <v>3032</v>
      </c>
      <c r="E893">
        <v>4</v>
      </c>
      <c r="F893">
        <v>16</v>
      </c>
      <c r="G893" s="4">
        <v>45599</v>
      </c>
      <c r="H893" s="5">
        <v>16025.38</v>
      </c>
    </row>
    <row r="894" spans="1:8" x14ac:dyDescent="0.3">
      <c r="A894">
        <v>4893</v>
      </c>
      <c r="B894">
        <v>1273</v>
      </c>
      <c r="C894">
        <v>2012</v>
      </c>
      <c r="D894">
        <v>3030</v>
      </c>
      <c r="E894">
        <v>2</v>
      </c>
      <c r="F894">
        <v>27</v>
      </c>
      <c r="G894" s="4">
        <v>45603</v>
      </c>
      <c r="H894" s="5">
        <v>17306.830000000002</v>
      </c>
    </row>
    <row r="895" spans="1:8" x14ac:dyDescent="0.3">
      <c r="A895">
        <v>4894</v>
      </c>
      <c r="B895">
        <v>1178</v>
      </c>
      <c r="C895">
        <v>2010</v>
      </c>
      <c r="D895">
        <v>3012</v>
      </c>
      <c r="E895">
        <v>3</v>
      </c>
      <c r="F895">
        <v>4</v>
      </c>
      <c r="G895" s="4">
        <v>45595</v>
      </c>
      <c r="H895" s="5">
        <v>51663.88</v>
      </c>
    </row>
    <row r="896" spans="1:8" x14ac:dyDescent="0.3">
      <c r="A896">
        <v>4895</v>
      </c>
      <c r="B896">
        <v>1195</v>
      </c>
      <c r="C896">
        <v>2001</v>
      </c>
      <c r="D896">
        <v>3012</v>
      </c>
      <c r="E896">
        <v>4</v>
      </c>
      <c r="F896">
        <v>13</v>
      </c>
      <c r="G896" s="4">
        <v>45575</v>
      </c>
      <c r="H896" s="5">
        <v>25153.439999999999</v>
      </c>
    </row>
    <row r="897" spans="1:8" x14ac:dyDescent="0.3">
      <c r="A897">
        <v>4896</v>
      </c>
      <c r="B897">
        <v>1253</v>
      </c>
      <c r="C897">
        <v>2009</v>
      </c>
      <c r="D897">
        <v>3031</v>
      </c>
      <c r="E897">
        <v>2</v>
      </c>
      <c r="F897">
        <v>16</v>
      </c>
      <c r="G897" s="4">
        <v>45577</v>
      </c>
      <c r="H897" s="5">
        <v>18463.96</v>
      </c>
    </row>
    <row r="898" spans="1:8" x14ac:dyDescent="0.3">
      <c r="A898">
        <v>4897</v>
      </c>
      <c r="B898">
        <v>1209</v>
      </c>
      <c r="C898">
        <v>2004</v>
      </c>
      <c r="D898">
        <v>3029</v>
      </c>
      <c r="E898">
        <v>3</v>
      </c>
      <c r="F898">
        <v>14</v>
      </c>
      <c r="G898" s="4">
        <v>45595</v>
      </c>
      <c r="H898" s="5">
        <v>12743.48</v>
      </c>
    </row>
    <row r="899" spans="1:8" x14ac:dyDescent="0.3">
      <c r="A899">
        <v>4898</v>
      </c>
      <c r="B899">
        <v>1135</v>
      </c>
      <c r="C899">
        <v>2011</v>
      </c>
      <c r="D899">
        <v>3007</v>
      </c>
      <c r="E899">
        <v>3</v>
      </c>
      <c r="F899">
        <v>16</v>
      </c>
      <c r="G899" s="4">
        <v>45591</v>
      </c>
      <c r="H899" s="5">
        <v>18816.21</v>
      </c>
    </row>
    <row r="900" spans="1:8" x14ac:dyDescent="0.3">
      <c r="A900">
        <v>4899</v>
      </c>
      <c r="B900">
        <v>1285</v>
      </c>
      <c r="C900">
        <v>2014</v>
      </c>
      <c r="D900">
        <v>3033</v>
      </c>
      <c r="E900">
        <v>3</v>
      </c>
      <c r="F900">
        <v>10</v>
      </c>
      <c r="G900" s="4">
        <v>45609</v>
      </c>
      <c r="H900" s="5">
        <v>37197.69</v>
      </c>
    </row>
    <row r="901" spans="1:8" x14ac:dyDescent="0.3">
      <c r="A901">
        <v>4900</v>
      </c>
      <c r="B901">
        <v>1244</v>
      </c>
      <c r="C901">
        <v>2013</v>
      </c>
      <c r="D901">
        <v>3012</v>
      </c>
      <c r="E901">
        <v>1</v>
      </c>
      <c r="F901">
        <v>26</v>
      </c>
      <c r="G901" s="4">
        <v>45594</v>
      </c>
      <c r="H901" s="5">
        <v>8721.4699999999993</v>
      </c>
    </row>
    <row r="902" spans="1:8" x14ac:dyDescent="0.3">
      <c r="A902">
        <v>4901</v>
      </c>
      <c r="B902">
        <v>1281</v>
      </c>
      <c r="C902">
        <v>2007</v>
      </c>
      <c r="D902">
        <v>3028</v>
      </c>
      <c r="E902">
        <v>4</v>
      </c>
      <c r="F902">
        <v>14</v>
      </c>
      <c r="G902" s="4">
        <v>45612</v>
      </c>
      <c r="H902" s="5">
        <v>11782.32</v>
      </c>
    </row>
    <row r="903" spans="1:8" x14ac:dyDescent="0.3">
      <c r="A903">
        <v>4902</v>
      </c>
      <c r="B903">
        <v>1148</v>
      </c>
      <c r="C903">
        <v>2001</v>
      </c>
      <c r="D903">
        <v>3035</v>
      </c>
      <c r="E903">
        <v>5</v>
      </c>
      <c r="F903">
        <v>25</v>
      </c>
      <c r="G903" s="4">
        <v>45597</v>
      </c>
      <c r="H903" s="5">
        <v>27148.37</v>
      </c>
    </row>
    <row r="904" spans="1:8" x14ac:dyDescent="0.3">
      <c r="A904">
        <v>4903</v>
      </c>
      <c r="B904">
        <v>1099</v>
      </c>
      <c r="C904">
        <v>2013</v>
      </c>
      <c r="D904">
        <v>3012</v>
      </c>
      <c r="E904">
        <v>1</v>
      </c>
      <c r="F904">
        <v>2</v>
      </c>
      <c r="G904" s="4">
        <v>45592</v>
      </c>
      <c r="H904" s="5">
        <v>11565.46</v>
      </c>
    </row>
    <row r="905" spans="1:8" x14ac:dyDescent="0.3">
      <c r="A905">
        <v>4904</v>
      </c>
      <c r="B905">
        <v>1213</v>
      </c>
      <c r="C905">
        <v>2010</v>
      </c>
      <c r="D905">
        <v>3032</v>
      </c>
      <c r="E905">
        <v>5</v>
      </c>
      <c r="F905">
        <v>17</v>
      </c>
      <c r="G905" s="4">
        <v>45608</v>
      </c>
      <c r="H905" s="5">
        <v>73999.990000000005</v>
      </c>
    </row>
    <row r="906" spans="1:8" x14ac:dyDescent="0.3">
      <c r="A906">
        <v>4905</v>
      </c>
      <c r="B906">
        <v>1069</v>
      </c>
      <c r="C906">
        <v>2020</v>
      </c>
      <c r="D906">
        <v>3031</v>
      </c>
      <c r="E906">
        <v>4</v>
      </c>
      <c r="F906">
        <v>2</v>
      </c>
      <c r="G906" s="4">
        <v>45575</v>
      </c>
      <c r="H906" s="5">
        <v>17708.5</v>
      </c>
    </row>
    <row r="907" spans="1:8" x14ac:dyDescent="0.3">
      <c r="A907">
        <v>4906</v>
      </c>
      <c r="B907">
        <v>1061</v>
      </c>
      <c r="C907">
        <v>2025</v>
      </c>
      <c r="D907">
        <v>3031</v>
      </c>
      <c r="E907">
        <v>2</v>
      </c>
      <c r="F907">
        <v>21</v>
      </c>
      <c r="G907" s="4">
        <v>45598</v>
      </c>
      <c r="H907" s="5">
        <v>27022.77</v>
      </c>
    </row>
    <row r="908" spans="1:8" x14ac:dyDescent="0.3">
      <c r="A908">
        <v>4907</v>
      </c>
      <c r="B908">
        <v>1003</v>
      </c>
      <c r="C908">
        <v>2019</v>
      </c>
      <c r="D908">
        <v>3015</v>
      </c>
      <c r="E908">
        <v>2</v>
      </c>
      <c r="F908">
        <v>6</v>
      </c>
      <c r="G908" s="4">
        <v>45613</v>
      </c>
      <c r="H908" s="5">
        <v>25736.35</v>
      </c>
    </row>
    <row r="909" spans="1:8" x14ac:dyDescent="0.3">
      <c r="A909">
        <v>4908</v>
      </c>
      <c r="B909">
        <v>1140</v>
      </c>
      <c r="C909">
        <v>2025</v>
      </c>
      <c r="D909">
        <v>3010</v>
      </c>
      <c r="E909">
        <v>5</v>
      </c>
      <c r="F909">
        <v>8</v>
      </c>
      <c r="G909" s="4">
        <v>45602</v>
      </c>
      <c r="H909" s="5">
        <v>78168.27</v>
      </c>
    </row>
    <row r="910" spans="1:8" x14ac:dyDescent="0.3">
      <c r="A910">
        <v>4909</v>
      </c>
      <c r="B910">
        <v>1206</v>
      </c>
      <c r="C910">
        <v>2015</v>
      </c>
      <c r="D910">
        <v>3008</v>
      </c>
      <c r="E910">
        <v>3</v>
      </c>
      <c r="F910">
        <v>8</v>
      </c>
      <c r="G910" s="4">
        <v>45582</v>
      </c>
      <c r="H910" s="5">
        <v>48618.73</v>
      </c>
    </row>
    <row r="911" spans="1:8" x14ac:dyDescent="0.3">
      <c r="A911">
        <v>4910</v>
      </c>
      <c r="B911">
        <v>1187</v>
      </c>
      <c r="C911">
        <v>2025</v>
      </c>
      <c r="D911">
        <v>3006</v>
      </c>
      <c r="E911">
        <v>2</v>
      </c>
      <c r="F911">
        <v>19</v>
      </c>
      <c r="G911" s="4">
        <v>45581</v>
      </c>
      <c r="H911" s="5">
        <v>27672.89</v>
      </c>
    </row>
    <row r="912" spans="1:8" x14ac:dyDescent="0.3">
      <c r="A912">
        <v>4911</v>
      </c>
      <c r="B912">
        <v>1008</v>
      </c>
      <c r="C912">
        <v>2006</v>
      </c>
      <c r="D912">
        <v>3030</v>
      </c>
      <c r="E912">
        <v>2</v>
      </c>
      <c r="F912">
        <v>29</v>
      </c>
      <c r="G912" s="4">
        <v>45584</v>
      </c>
      <c r="H912" s="5">
        <v>17127.61</v>
      </c>
    </row>
    <row r="913" spans="1:8" x14ac:dyDescent="0.3">
      <c r="A913">
        <v>4912</v>
      </c>
      <c r="B913">
        <v>1057</v>
      </c>
      <c r="C913">
        <v>2020</v>
      </c>
      <c r="D913">
        <v>3025</v>
      </c>
      <c r="E913">
        <v>2</v>
      </c>
      <c r="F913">
        <v>9</v>
      </c>
      <c r="G913" s="4">
        <v>45599</v>
      </c>
      <c r="H913" s="5">
        <v>8173.71</v>
      </c>
    </row>
    <row r="914" spans="1:8" x14ac:dyDescent="0.3">
      <c r="A914">
        <v>4913</v>
      </c>
      <c r="B914">
        <v>1087</v>
      </c>
      <c r="C914">
        <v>2007</v>
      </c>
      <c r="D914">
        <v>3034</v>
      </c>
      <c r="E914">
        <v>2</v>
      </c>
      <c r="F914">
        <v>9</v>
      </c>
      <c r="G914" s="4">
        <v>45585</v>
      </c>
      <c r="H914" s="5">
        <v>6198.92</v>
      </c>
    </row>
    <row r="915" spans="1:8" x14ac:dyDescent="0.3">
      <c r="A915">
        <v>4914</v>
      </c>
      <c r="B915">
        <v>1106</v>
      </c>
      <c r="C915">
        <v>2024</v>
      </c>
      <c r="D915">
        <v>3024</v>
      </c>
      <c r="E915">
        <v>5</v>
      </c>
      <c r="F915">
        <v>5</v>
      </c>
      <c r="G915" s="4">
        <v>45584</v>
      </c>
      <c r="H915" s="5">
        <v>77373.36</v>
      </c>
    </row>
    <row r="916" spans="1:8" x14ac:dyDescent="0.3">
      <c r="A916">
        <v>4915</v>
      </c>
      <c r="B916">
        <v>1136</v>
      </c>
      <c r="C916">
        <v>2021</v>
      </c>
      <c r="D916">
        <v>3017</v>
      </c>
      <c r="E916">
        <v>3</v>
      </c>
      <c r="F916">
        <v>12</v>
      </c>
      <c r="G916" s="4">
        <v>45608</v>
      </c>
      <c r="H916" s="5">
        <v>46606.42</v>
      </c>
    </row>
    <row r="917" spans="1:8" x14ac:dyDescent="0.3">
      <c r="A917">
        <v>4916</v>
      </c>
      <c r="B917">
        <v>1298</v>
      </c>
      <c r="C917">
        <v>2009</v>
      </c>
      <c r="D917">
        <v>3002</v>
      </c>
      <c r="E917">
        <v>3</v>
      </c>
      <c r="F917">
        <v>28</v>
      </c>
      <c r="G917" s="4">
        <v>45607</v>
      </c>
      <c r="H917" s="5">
        <v>23699.13</v>
      </c>
    </row>
    <row r="918" spans="1:8" x14ac:dyDescent="0.3">
      <c r="A918">
        <v>4917</v>
      </c>
      <c r="B918">
        <v>1284</v>
      </c>
      <c r="C918">
        <v>2017</v>
      </c>
      <c r="D918">
        <v>3031</v>
      </c>
      <c r="E918">
        <v>2</v>
      </c>
      <c r="F918">
        <v>16</v>
      </c>
      <c r="G918" s="4">
        <v>45580</v>
      </c>
      <c r="H918" s="5">
        <v>13773.76</v>
      </c>
    </row>
    <row r="919" spans="1:8" x14ac:dyDescent="0.3">
      <c r="A919">
        <v>4918</v>
      </c>
      <c r="B919">
        <v>1053</v>
      </c>
      <c r="C919">
        <v>2006</v>
      </c>
      <c r="D919">
        <v>3016</v>
      </c>
      <c r="E919">
        <v>5</v>
      </c>
      <c r="F919">
        <v>12</v>
      </c>
      <c r="G919" s="4">
        <v>45582</v>
      </c>
      <c r="H919" s="5">
        <v>53184.6</v>
      </c>
    </row>
    <row r="920" spans="1:8" x14ac:dyDescent="0.3">
      <c r="A920">
        <v>4919</v>
      </c>
      <c r="B920">
        <v>1210</v>
      </c>
      <c r="C920">
        <v>2012</v>
      </c>
      <c r="D920">
        <v>3032</v>
      </c>
      <c r="E920">
        <v>1</v>
      </c>
      <c r="F920">
        <v>16</v>
      </c>
      <c r="G920" s="4">
        <v>45578</v>
      </c>
      <c r="H920" s="5">
        <v>9919.6299999999992</v>
      </c>
    </row>
    <row r="921" spans="1:8" x14ac:dyDescent="0.3">
      <c r="A921">
        <v>4920</v>
      </c>
      <c r="B921">
        <v>1212</v>
      </c>
      <c r="C921">
        <v>2002</v>
      </c>
      <c r="D921">
        <v>3021</v>
      </c>
      <c r="E921">
        <v>1</v>
      </c>
      <c r="F921">
        <v>15</v>
      </c>
      <c r="G921" s="4">
        <v>45595</v>
      </c>
      <c r="H921" s="5">
        <v>8083.88</v>
      </c>
    </row>
    <row r="922" spans="1:8" x14ac:dyDescent="0.3">
      <c r="A922">
        <v>4921</v>
      </c>
      <c r="B922">
        <v>1138</v>
      </c>
      <c r="C922">
        <v>2012</v>
      </c>
      <c r="D922">
        <v>3027</v>
      </c>
      <c r="E922">
        <v>4</v>
      </c>
      <c r="F922">
        <v>12</v>
      </c>
      <c r="G922" s="4">
        <v>45589</v>
      </c>
      <c r="H922" s="5">
        <v>41605.699999999997</v>
      </c>
    </row>
    <row r="923" spans="1:8" x14ac:dyDescent="0.3">
      <c r="A923">
        <v>4922</v>
      </c>
      <c r="B923">
        <v>1037</v>
      </c>
      <c r="C923">
        <v>2003</v>
      </c>
      <c r="D923">
        <v>3018</v>
      </c>
      <c r="E923">
        <v>5</v>
      </c>
      <c r="F923">
        <v>13</v>
      </c>
      <c r="G923" s="4">
        <v>45592</v>
      </c>
      <c r="H923" s="5">
        <v>57704.28</v>
      </c>
    </row>
    <row r="924" spans="1:8" x14ac:dyDescent="0.3">
      <c r="A924">
        <v>4923</v>
      </c>
      <c r="B924">
        <v>1299</v>
      </c>
      <c r="C924">
        <v>2015</v>
      </c>
      <c r="D924">
        <v>3034</v>
      </c>
      <c r="E924">
        <v>3</v>
      </c>
      <c r="F924">
        <v>17</v>
      </c>
      <c r="G924" s="4">
        <v>45578</v>
      </c>
      <c r="H924" s="5">
        <v>43617.43</v>
      </c>
    </row>
    <row r="925" spans="1:8" x14ac:dyDescent="0.3">
      <c r="A925">
        <v>4924</v>
      </c>
      <c r="B925">
        <v>1247</v>
      </c>
      <c r="C925">
        <v>2003</v>
      </c>
      <c r="D925">
        <v>3011</v>
      </c>
      <c r="E925">
        <v>3</v>
      </c>
      <c r="F925">
        <v>13</v>
      </c>
      <c r="G925" s="4">
        <v>45596</v>
      </c>
      <c r="H925" s="5">
        <v>34400.120000000003</v>
      </c>
    </row>
    <row r="926" spans="1:8" x14ac:dyDescent="0.3">
      <c r="A926">
        <v>4925</v>
      </c>
      <c r="B926">
        <v>1011</v>
      </c>
      <c r="C926">
        <v>2018</v>
      </c>
      <c r="D926">
        <v>3022</v>
      </c>
      <c r="E926">
        <v>1</v>
      </c>
      <c r="F926">
        <v>6</v>
      </c>
      <c r="G926" s="4">
        <v>45589</v>
      </c>
      <c r="H926" s="5">
        <v>6839.56</v>
      </c>
    </row>
    <row r="927" spans="1:8" x14ac:dyDescent="0.3">
      <c r="A927">
        <v>4926</v>
      </c>
      <c r="B927">
        <v>1053</v>
      </c>
      <c r="C927">
        <v>2002</v>
      </c>
      <c r="D927">
        <v>3008</v>
      </c>
      <c r="E927">
        <v>2</v>
      </c>
      <c r="F927">
        <v>20</v>
      </c>
      <c r="G927" s="4">
        <v>45605</v>
      </c>
      <c r="H927" s="5">
        <v>15221.98</v>
      </c>
    </row>
    <row r="928" spans="1:8" x14ac:dyDescent="0.3">
      <c r="A928">
        <v>4927</v>
      </c>
      <c r="B928">
        <v>1296</v>
      </c>
      <c r="C928">
        <v>2001</v>
      </c>
      <c r="D928">
        <v>3011</v>
      </c>
      <c r="E928">
        <v>4</v>
      </c>
      <c r="F928">
        <v>13</v>
      </c>
      <c r="G928" s="4">
        <v>45592</v>
      </c>
      <c r="H928" s="5">
        <v>25081.16</v>
      </c>
    </row>
    <row r="929" spans="1:8" x14ac:dyDescent="0.3">
      <c r="A929">
        <v>4928</v>
      </c>
      <c r="B929">
        <v>1185</v>
      </c>
      <c r="C929">
        <v>2001</v>
      </c>
      <c r="D929">
        <v>3032</v>
      </c>
      <c r="E929">
        <v>1</v>
      </c>
      <c r="F929">
        <v>5</v>
      </c>
      <c r="G929" s="4">
        <v>45586</v>
      </c>
      <c r="H929" s="5">
        <v>6871.66</v>
      </c>
    </row>
    <row r="930" spans="1:8" x14ac:dyDescent="0.3">
      <c r="A930">
        <v>4929</v>
      </c>
      <c r="B930">
        <v>1163</v>
      </c>
      <c r="C930">
        <v>2021</v>
      </c>
      <c r="D930">
        <v>3022</v>
      </c>
      <c r="E930">
        <v>4</v>
      </c>
      <c r="F930">
        <v>13</v>
      </c>
      <c r="G930" s="4">
        <v>45586</v>
      </c>
      <c r="H930" s="5">
        <v>61213.35</v>
      </c>
    </row>
    <row r="931" spans="1:8" x14ac:dyDescent="0.3">
      <c r="A931">
        <v>4930</v>
      </c>
      <c r="B931">
        <v>1173</v>
      </c>
      <c r="C931">
        <v>2001</v>
      </c>
      <c r="D931">
        <v>3026</v>
      </c>
      <c r="E931">
        <v>2</v>
      </c>
      <c r="F931">
        <v>19</v>
      </c>
      <c r="G931" s="4">
        <v>45583</v>
      </c>
      <c r="H931" s="5">
        <v>11735.38</v>
      </c>
    </row>
    <row r="932" spans="1:8" x14ac:dyDescent="0.3">
      <c r="A932">
        <v>4931</v>
      </c>
      <c r="B932">
        <v>1170</v>
      </c>
      <c r="C932">
        <v>2017</v>
      </c>
      <c r="D932">
        <v>3016</v>
      </c>
      <c r="E932">
        <v>5</v>
      </c>
      <c r="F932">
        <v>18</v>
      </c>
      <c r="G932" s="4">
        <v>45602</v>
      </c>
      <c r="H932" s="5">
        <v>33677.199999999997</v>
      </c>
    </row>
    <row r="933" spans="1:8" x14ac:dyDescent="0.3">
      <c r="A933">
        <v>4932</v>
      </c>
      <c r="B933">
        <v>1007</v>
      </c>
      <c r="C933">
        <v>2007</v>
      </c>
      <c r="D933">
        <v>3004</v>
      </c>
      <c r="E933">
        <v>3</v>
      </c>
      <c r="F933">
        <v>20</v>
      </c>
      <c r="G933" s="4">
        <v>45597</v>
      </c>
      <c r="H933" s="5">
        <v>8168.33</v>
      </c>
    </row>
    <row r="934" spans="1:8" x14ac:dyDescent="0.3">
      <c r="A934">
        <v>4933</v>
      </c>
      <c r="B934">
        <v>1144</v>
      </c>
      <c r="C934">
        <v>2007</v>
      </c>
      <c r="D934">
        <v>3021</v>
      </c>
      <c r="E934">
        <v>1</v>
      </c>
      <c r="F934">
        <v>22</v>
      </c>
      <c r="G934" s="4">
        <v>45587</v>
      </c>
      <c r="H934" s="5">
        <v>2649.42</v>
      </c>
    </row>
    <row r="935" spans="1:8" x14ac:dyDescent="0.3">
      <c r="A935">
        <v>4934</v>
      </c>
      <c r="B935">
        <v>1144</v>
      </c>
      <c r="C935">
        <v>2014</v>
      </c>
      <c r="D935">
        <v>3012</v>
      </c>
      <c r="E935">
        <v>4</v>
      </c>
      <c r="F935">
        <v>25</v>
      </c>
      <c r="G935" s="4">
        <v>45609</v>
      </c>
      <c r="H935" s="5">
        <v>41319.71</v>
      </c>
    </row>
    <row r="936" spans="1:8" x14ac:dyDescent="0.3">
      <c r="A936">
        <v>4935</v>
      </c>
      <c r="B936">
        <v>1262</v>
      </c>
      <c r="C936">
        <v>2023</v>
      </c>
      <c r="D936">
        <v>3033</v>
      </c>
      <c r="E936">
        <v>4</v>
      </c>
      <c r="F936">
        <v>26</v>
      </c>
      <c r="G936" s="4">
        <v>45582</v>
      </c>
      <c r="H936" s="5">
        <v>14159.56</v>
      </c>
    </row>
    <row r="937" spans="1:8" x14ac:dyDescent="0.3">
      <c r="A937">
        <v>4936</v>
      </c>
      <c r="B937">
        <v>1168</v>
      </c>
      <c r="C937">
        <v>2022</v>
      </c>
      <c r="D937">
        <v>3029</v>
      </c>
      <c r="E937">
        <v>1</v>
      </c>
      <c r="F937">
        <v>16</v>
      </c>
      <c r="G937" s="4">
        <v>45585</v>
      </c>
      <c r="H937" s="5">
        <v>14424.02</v>
      </c>
    </row>
    <row r="938" spans="1:8" x14ac:dyDescent="0.3">
      <c r="A938">
        <v>4937</v>
      </c>
      <c r="B938">
        <v>1295</v>
      </c>
      <c r="C938">
        <v>2019</v>
      </c>
      <c r="D938">
        <v>3030</v>
      </c>
      <c r="E938">
        <v>5</v>
      </c>
      <c r="F938">
        <v>8</v>
      </c>
      <c r="G938" s="4">
        <v>45603</v>
      </c>
      <c r="H938" s="5">
        <v>62781.39</v>
      </c>
    </row>
    <row r="939" spans="1:8" x14ac:dyDescent="0.3">
      <c r="A939">
        <v>4938</v>
      </c>
      <c r="B939">
        <v>1143</v>
      </c>
      <c r="C939">
        <v>2007</v>
      </c>
      <c r="D939">
        <v>3015</v>
      </c>
      <c r="E939">
        <v>2</v>
      </c>
      <c r="F939">
        <v>26</v>
      </c>
      <c r="G939" s="4">
        <v>45602</v>
      </c>
      <c r="H939" s="5">
        <v>5057.2700000000004</v>
      </c>
    </row>
    <row r="940" spans="1:8" x14ac:dyDescent="0.3">
      <c r="A940">
        <v>4939</v>
      </c>
      <c r="B940">
        <v>1189</v>
      </c>
      <c r="C940">
        <v>2017</v>
      </c>
      <c r="D940">
        <v>3027</v>
      </c>
      <c r="E940">
        <v>5</v>
      </c>
      <c r="F940">
        <v>26</v>
      </c>
      <c r="G940" s="4">
        <v>45576</v>
      </c>
      <c r="H940" s="5">
        <v>30435.55</v>
      </c>
    </row>
    <row r="941" spans="1:8" x14ac:dyDescent="0.3">
      <c r="A941">
        <v>4940</v>
      </c>
      <c r="B941">
        <v>1210</v>
      </c>
      <c r="C941">
        <v>2020</v>
      </c>
      <c r="D941">
        <v>3001</v>
      </c>
      <c r="E941">
        <v>5</v>
      </c>
      <c r="F941">
        <v>5</v>
      </c>
      <c r="G941" s="4">
        <v>45612</v>
      </c>
      <c r="H941" s="5">
        <v>21256.86</v>
      </c>
    </row>
    <row r="942" spans="1:8" x14ac:dyDescent="0.3">
      <c r="A942">
        <v>4941</v>
      </c>
      <c r="B942">
        <v>1257</v>
      </c>
      <c r="C942">
        <v>2002</v>
      </c>
      <c r="D942">
        <v>3012</v>
      </c>
      <c r="E942">
        <v>1</v>
      </c>
      <c r="F942">
        <v>24</v>
      </c>
      <c r="G942" s="4">
        <v>45577</v>
      </c>
      <c r="H942" s="5">
        <v>7264.91</v>
      </c>
    </row>
    <row r="943" spans="1:8" x14ac:dyDescent="0.3">
      <c r="A943">
        <v>4942</v>
      </c>
      <c r="B943">
        <v>1105</v>
      </c>
      <c r="C943">
        <v>2004</v>
      </c>
      <c r="D943">
        <v>3013</v>
      </c>
      <c r="E943">
        <v>3</v>
      </c>
      <c r="F943">
        <v>17</v>
      </c>
      <c r="G943" s="4">
        <v>45603</v>
      </c>
      <c r="H943" s="5">
        <v>12339.39</v>
      </c>
    </row>
    <row r="944" spans="1:8" x14ac:dyDescent="0.3">
      <c r="A944">
        <v>4943</v>
      </c>
      <c r="B944">
        <v>1145</v>
      </c>
      <c r="C944">
        <v>2016</v>
      </c>
      <c r="D944">
        <v>3007</v>
      </c>
      <c r="E944">
        <v>2</v>
      </c>
      <c r="F944">
        <v>20</v>
      </c>
      <c r="G944" s="4">
        <v>45611</v>
      </c>
      <c r="H944" s="5">
        <v>19528.439999999999</v>
      </c>
    </row>
    <row r="945" spans="1:8" x14ac:dyDescent="0.3">
      <c r="A945">
        <v>4944</v>
      </c>
      <c r="B945">
        <v>1084</v>
      </c>
      <c r="C945">
        <v>2010</v>
      </c>
      <c r="D945">
        <v>3031</v>
      </c>
      <c r="E945">
        <v>4</v>
      </c>
      <c r="F945">
        <v>10</v>
      </c>
      <c r="G945" s="4">
        <v>45586</v>
      </c>
      <c r="H945" s="5">
        <v>64228.84</v>
      </c>
    </row>
    <row r="946" spans="1:8" x14ac:dyDescent="0.3">
      <c r="A946">
        <v>4945</v>
      </c>
      <c r="B946">
        <v>1293</v>
      </c>
      <c r="C946">
        <v>2021</v>
      </c>
      <c r="D946">
        <v>3026</v>
      </c>
      <c r="E946">
        <v>3</v>
      </c>
      <c r="F946">
        <v>6</v>
      </c>
      <c r="G946" s="4">
        <v>45580</v>
      </c>
      <c r="H946" s="5">
        <v>49529.21</v>
      </c>
    </row>
    <row r="947" spans="1:8" x14ac:dyDescent="0.3">
      <c r="A947">
        <v>4946</v>
      </c>
      <c r="B947">
        <v>1190</v>
      </c>
      <c r="C947">
        <v>2007</v>
      </c>
      <c r="D947">
        <v>3014</v>
      </c>
      <c r="E947">
        <v>5</v>
      </c>
      <c r="F947">
        <v>3</v>
      </c>
      <c r="G947" s="4">
        <v>45594</v>
      </c>
      <c r="H947" s="5">
        <v>16604.5</v>
      </c>
    </row>
    <row r="948" spans="1:8" x14ac:dyDescent="0.3">
      <c r="A948">
        <v>4947</v>
      </c>
      <c r="B948">
        <v>1262</v>
      </c>
      <c r="C948">
        <v>2012</v>
      </c>
      <c r="D948">
        <v>3027</v>
      </c>
      <c r="E948">
        <v>3</v>
      </c>
      <c r="F948">
        <v>8</v>
      </c>
      <c r="G948" s="4">
        <v>45587</v>
      </c>
      <c r="H948" s="5">
        <v>32731.56</v>
      </c>
    </row>
    <row r="949" spans="1:8" x14ac:dyDescent="0.3">
      <c r="A949">
        <v>4948</v>
      </c>
      <c r="B949">
        <v>1210</v>
      </c>
      <c r="C949">
        <v>2009</v>
      </c>
      <c r="D949">
        <v>3022</v>
      </c>
      <c r="E949">
        <v>5</v>
      </c>
      <c r="F949">
        <v>18</v>
      </c>
      <c r="G949" s="4">
        <v>45576</v>
      </c>
      <c r="H949" s="5">
        <v>45259.56</v>
      </c>
    </row>
    <row r="950" spans="1:8" x14ac:dyDescent="0.3">
      <c r="A950">
        <v>4949</v>
      </c>
      <c r="B950">
        <v>1038</v>
      </c>
      <c r="C950">
        <v>2016</v>
      </c>
      <c r="D950">
        <v>3017</v>
      </c>
      <c r="E950">
        <v>2</v>
      </c>
      <c r="F950">
        <v>6</v>
      </c>
      <c r="G950" s="4">
        <v>45616</v>
      </c>
      <c r="H950" s="5">
        <v>22980.68</v>
      </c>
    </row>
    <row r="951" spans="1:8" x14ac:dyDescent="0.3">
      <c r="A951">
        <v>4950</v>
      </c>
      <c r="B951">
        <v>1015</v>
      </c>
      <c r="C951">
        <v>2025</v>
      </c>
      <c r="D951">
        <v>3008</v>
      </c>
      <c r="E951">
        <v>3</v>
      </c>
      <c r="F951">
        <v>15</v>
      </c>
      <c r="G951" s="4">
        <v>45605</v>
      </c>
      <c r="H951" s="5">
        <v>43250.38</v>
      </c>
    </row>
    <row r="952" spans="1:8" x14ac:dyDescent="0.3">
      <c r="A952">
        <v>4951</v>
      </c>
      <c r="B952">
        <v>1207</v>
      </c>
      <c r="C952">
        <v>2017</v>
      </c>
      <c r="D952">
        <v>3031</v>
      </c>
      <c r="E952">
        <v>4</v>
      </c>
      <c r="F952">
        <v>0</v>
      </c>
      <c r="G952" s="4">
        <v>45580</v>
      </c>
      <c r="H952" s="5">
        <v>32665.41</v>
      </c>
    </row>
    <row r="953" spans="1:8" x14ac:dyDescent="0.3">
      <c r="A953">
        <v>4952</v>
      </c>
      <c r="B953">
        <v>1009</v>
      </c>
      <c r="C953">
        <v>2007</v>
      </c>
      <c r="D953">
        <v>3002</v>
      </c>
      <c r="E953">
        <v>1</v>
      </c>
      <c r="F953">
        <v>8</v>
      </c>
      <c r="G953" s="4">
        <v>45580</v>
      </c>
      <c r="H953" s="5">
        <v>3143.82</v>
      </c>
    </row>
    <row r="954" spans="1:8" x14ac:dyDescent="0.3">
      <c r="A954">
        <v>4953</v>
      </c>
      <c r="B954">
        <v>1223</v>
      </c>
      <c r="C954">
        <v>2017</v>
      </c>
      <c r="D954">
        <v>3010</v>
      </c>
      <c r="E954">
        <v>5</v>
      </c>
      <c r="F954">
        <v>12</v>
      </c>
      <c r="G954" s="4">
        <v>45589</v>
      </c>
      <c r="H954" s="5">
        <v>35928.35</v>
      </c>
    </row>
    <row r="955" spans="1:8" x14ac:dyDescent="0.3">
      <c r="A955">
        <v>4954</v>
      </c>
      <c r="B955">
        <v>1058</v>
      </c>
      <c r="C955">
        <v>2017</v>
      </c>
      <c r="D955">
        <v>3006</v>
      </c>
      <c r="E955">
        <v>1</v>
      </c>
      <c r="F955">
        <v>19</v>
      </c>
      <c r="G955" s="4">
        <v>45592</v>
      </c>
      <c r="H955" s="5">
        <v>6598.73</v>
      </c>
    </row>
    <row r="956" spans="1:8" x14ac:dyDescent="0.3">
      <c r="A956">
        <v>4955</v>
      </c>
      <c r="B956">
        <v>1062</v>
      </c>
      <c r="C956">
        <v>2001</v>
      </c>
      <c r="D956">
        <v>3007</v>
      </c>
      <c r="E956">
        <v>1</v>
      </c>
      <c r="F956">
        <v>8</v>
      </c>
      <c r="G956" s="4">
        <v>45600</v>
      </c>
      <c r="H956" s="5">
        <v>6668.55</v>
      </c>
    </row>
    <row r="957" spans="1:8" x14ac:dyDescent="0.3">
      <c r="A957">
        <v>4956</v>
      </c>
      <c r="B957">
        <v>1245</v>
      </c>
      <c r="C957">
        <v>2025</v>
      </c>
      <c r="D957">
        <v>3012</v>
      </c>
      <c r="E957">
        <v>4</v>
      </c>
      <c r="F957">
        <v>25</v>
      </c>
      <c r="G957" s="4">
        <v>45611</v>
      </c>
      <c r="H957" s="5">
        <v>51397.38</v>
      </c>
    </row>
    <row r="958" spans="1:8" x14ac:dyDescent="0.3">
      <c r="A958">
        <v>4957</v>
      </c>
      <c r="B958">
        <v>1198</v>
      </c>
      <c r="C958">
        <v>2013</v>
      </c>
      <c r="D958">
        <v>3019</v>
      </c>
      <c r="E958">
        <v>2</v>
      </c>
      <c r="F958">
        <v>19</v>
      </c>
      <c r="G958" s="4">
        <v>45594</v>
      </c>
      <c r="H958" s="5">
        <v>19089.400000000001</v>
      </c>
    </row>
    <row r="959" spans="1:8" x14ac:dyDescent="0.3">
      <c r="A959">
        <v>4958</v>
      </c>
      <c r="B959">
        <v>1144</v>
      </c>
      <c r="C959">
        <v>2013</v>
      </c>
      <c r="D959">
        <v>3026</v>
      </c>
      <c r="E959">
        <v>2</v>
      </c>
      <c r="F959">
        <v>13</v>
      </c>
      <c r="G959" s="4">
        <v>45599</v>
      </c>
      <c r="H959" s="5">
        <v>20496.59</v>
      </c>
    </row>
    <row r="960" spans="1:8" x14ac:dyDescent="0.3">
      <c r="A960">
        <v>4959</v>
      </c>
      <c r="B960">
        <v>1081</v>
      </c>
      <c r="C960">
        <v>2002</v>
      </c>
      <c r="D960">
        <v>3034</v>
      </c>
      <c r="E960">
        <v>2</v>
      </c>
      <c r="F960">
        <v>24</v>
      </c>
      <c r="G960" s="4">
        <v>45576</v>
      </c>
      <c r="H960" s="5">
        <v>14545.07</v>
      </c>
    </row>
    <row r="961" spans="1:8" x14ac:dyDescent="0.3">
      <c r="A961">
        <v>4960</v>
      </c>
      <c r="B961">
        <v>1060</v>
      </c>
      <c r="C961">
        <v>2011</v>
      </c>
      <c r="D961">
        <v>3018</v>
      </c>
      <c r="E961">
        <v>1</v>
      </c>
      <c r="F961">
        <v>23</v>
      </c>
      <c r="G961" s="4">
        <v>45590</v>
      </c>
      <c r="H961" s="5">
        <v>5776.83</v>
      </c>
    </row>
    <row r="962" spans="1:8" x14ac:dyDescent="0.3">
      <c r="A962">
        <v>4961</v>
      </c>
      <c r="B962">
        <v>1188</v>
      </c>
      <c r="C962">
        <v>2021</v>
      </c>
      <c r="D962">
        <v>3022</v>
      </c>
      <c r="E962">
        <v>2</v>
      </c>
      <c r="F962">
        <v>3</v>
      </c>
      <c r="G962" s="4">
        <v>45582</v>
      </c>
      <c r="H962" s="5">
        <v>33951.53</v>
      </c>
    </row>
    <row r="963" spans="1:8" x14ac:dyDescent="0.3">
      <c r="A963">
        <v>4962</v>
      </c>
      <c r="B963">
        <v>1058</v>
      </c>
      <c r="C963">
        <v>2002</v>
      </c>
      <c r="D963">
        <v>3029</v>
      </c>
      <c r="E963">
        <v>3</v>
      </c>
      <c r="F963">
        <v>10</v>
      </c>
      <c r="G963" s="4">
        <v>45612</v>
      </c>
      <c r="H963" s="5">
        <v>25724.639999999999</v>
      </c>
    </row>
    <row r="964" spans="1:8" x14ac:dyDescent="0.3">
      <c r="A964">
        <v>4963</v>
      </c>
      <c r="B964">
        <v>1297</v>
      </c>
      <c r="C964">
        <v>2010</v>
      </c>
      <c r="D964">
        <v>3004</v>
      </c>
      <c r="E964">
        <v>4</v>
      </c>
      <c r="F964">
        <v>22</v>
      </c>
      <c r="G964" s="4">
        <v>45599</v>
      </c>
      <c r="H964" s="5">
        <v>56062.33</v>
      </c>
    </row>
    <row r="965" spans="1:8" x14ac:dyDescent="0.3">
      <c r="A965">
        <v>4964</v>
      </c>
      <c r="B965">
        <v>1159</v>
      </c>
      <c r="C965">
        <v>2014</v>
      </c>
      <c r="D965">
        <v>3019</v>
      </c>
      <c r="E965">
        <v>3</v>
      </c>
      <c r="F965">
        <v>23</v>
      </c>
      <c r="G965" s="4">
        <v>45597</v>
      </c>
      <c r="H965" s="5">
        <v>32043.1</v>
      </c>
    </row>
    <row r="966" spans="1:8" x14ac:dyDescent="0.3">
      <c r="A966">
        <v>4965</v>
      </c>
      <c r="B966">
        <v>1157</v>
      </c>
      <c r="C966">
        <v>2016</v>
      </c>
      <c r="D966">
        <v>3009</v>
      </c>
      <c r="E966">
        <v>4</v>
      </c>
      <c r="F966">
        <v>21</v>
      </c>
      <c r="G966" s="4">
        <v>45578</v>
      </c>
      <c r="H966" s="5">
        <v>38459.47</v>
      </c>
    </row>
    <row r="967" spans="1:8" x14ac:dyDescent="0.3">
      <c r="A967">
        <v>4966</v>
      </c>
      <c r="B967">
        <v>1046</v>
      </c>
      <c r="C967">
        <v>2023</v>
      </c>
      <c r="D967">
        <v>3009</v>
      </c>
      <c r="E967">
        <v>1</v>
      </c>
      <c r="F967">
        <v>20</v>
      </c>
      <c r="G967" s="4">
        <v>45585</v>
      </c>
      <c r="H967" s="5">
        <v>3819.86</v>
      </c>
    </row>
    <row r="968" spans="1:8" x14ac:dyDescent="0.3">
      <c r="A968">
        <v>4967</v>
      </c>
      <c r="B968">
        <v>1082</v>
      </c>
      <c r="C968">
        <v>2018</v>
      </c>
      <c r="D968">
        <v>3003</v>
      </c>
      <c r="E968">
        <v>3</v>
      </c>
      <c r="F968">
        <v>5</v>
      </c>
      <c r="G968" s="4">
        <v>45610</v>
      </c>
      <c r="H968" s="5">
        <v>20588.23</v>
      </c>
    </row>
    <row r="969" spans="1:8" x14ac:dyDescent="0.3">
      <c r="A969">
        <v>4968</v>
      </c>
      <c r="B969">
        <v>1033</v>
      </c>
      <c r="C969">
        <v>2025</v>
      </c>
      <c r="D969">
        <v>3011</v>
      </c>
      <c r="E969">
        <v>5</v>
      </c>
      <c r="F969">
        <v>12</v>
      </c>
      <c r="G969" s="4">
        <v>45582</v>
      </c>
      <c r="H969" s="5">
        <v>74585.77</v>
      </c>
    </row>
    <row r="970" spans="1:8" x14ac:dyDescent="0.3">
      <c r="A970">
        <v>4969</v>
      </c>
      <c r="B970">
        <v>1225</v>
      </c>
      <c r="C970">
        <v>2013</v>
      </c>
      <c r="D970">
        <v>3033</v>
      </c>
      <c r="E970">
        <v>4</v>
      </c>
      <c r="F970">
        <v>25</v>
      </c>
      <c r="G970" s="4">
        <v>45587</v>
      </c>
      <c r="H970" s="5">
        <v>35762.42</v>
      </c>
    </row>
    <row r="971" spans="1:8" x14ac:dyDescent="0.3">
      <c r="A971">
        <v>4970</v>
      </c>
      <c r="B971">
        <v>1118</v>
      </c>
      <c r="C971">
        <v>2023</v>
      </c>
      <c r="D971">
        <v>3003</v>
      </c>
      <c r="E971">
        <v>1</v>
      </c>
      <c r="F971">
        <v>21</v>
      </c>
      <c r="G971" s="4">
        <v>45599</v>
      </c>
      <c r="H971" s="5">
        <v>3810.75</v>
      </c>
    </row>
    <row r="972" spans="1:8" x14ac:dyDescent="0.3">
      <c r="A972">
        <v>4971</v>
      </c>
      <c r="B972">
        <v>1215</v>
      </c>
      <c r="C972">
        <v>2018</v>
      </c>
      <c r="D972">
        <v>3015</v>
      </c>
      <c r="E972">
        <v>3</v>
      </c>
      <c r="F972">
        <v>16</v>
      </c>
      <c r="G972" s="4">
        <v>45576</v>
      </c>
      <c r="H972" s="5">
        <v>18182.830000000002</v>
      </c>
    </row>
    <row r="973" spans="1:8" x14ac:dyDescent="0.3">
      <c r="A973">
        <v>4972</v>
      </c>
      <c r="B973">
        <v>1172</v>
      </c>
      <c r="C973">
        <v>2017</v>
      </c>
      <c r="D973">
        <v>3028</v>
      </c>
      <c r="E973">
        <v>5</v>
      </c>
      <c r="F973">
        <v>17</v>
      </c>
      <c r="G973" s="4">
        <v>45587</v>
      </c>
      <c r="H973" s="5">
        <v>33869.57</v>
      </c>
    </row>
    <row r="974" spans="1:8" x14ac:dyDescent="0.3">
      <c r="A974">
        <v>4973</v>
      </c>
      <c r="B974">
        <v>1058</v>
      </c>
      <c r="C974">
        <v>2025</v>
      </c>
      <c r="D974">
        <v>3030</v>
      </c>
      <c r="E974">
        <v>1</v>
      </c>
      <c r="F974">
        <v>4</v>
      </c>
      <c r="G974" s="4">
        <v>45596</v>
      </c>
      <c r="H974" s="5">
        <v>16379.09</v>
      </c>
    </row>
    <row r="975" spans="1:8" x14ac:dyDescent="0.3">
      <c r="A975">
        <v>4974</v>
      </c>
      <c r="B975">
        <v>1255</v>
      </c>
      <c r="C975">
        <v>2003</v>
      </c>
      <c r="D975">
        <v>3007</v>
      </c>
      <c r="E975">
        <v>5</v>
      </c>
      <c r="F975">
        <v>13</v>
      </c>
      <c r="G975" s="4">
        <v>45576</v>
      </c>
      <c r="H975" s="5">
        <v>57399.74</v>
      </c>
    </row>
    <row r="976" spans="1:8" x14ac:dyDescent="0.3">
      <c r="A976">
        <v>4975</v>
      </c>
      <c r="B976">
        <v>1224</v>
      </c>
      <c r="C976">
        <v>2021</v>
      </c>
      <c r="D976">
        <v>3024</v>
      </c>
      <c r="E976">
        <v>1</v>
      </c>
      <c r="F976">
        <v>2</v>
      </c>
      <c r="G976" s="4">
        <v>45578</v>
      </c>
      <c r="H976" s="5">
        <v>17246.59</v>
      </c>
    </row>
    <row r="977" spans="1:8" x14ac:dyDescent="0.3">
      <c r="A977">
        <v>4976</v>
      </c>
      <c r="B977">
        <v>1137</v>
      </c>
      <c r="C977">
        <v>2021</v>
      </c>
      <c r="D977">
        <v>3017</v>
      </c>
      <c r="E977">
        <v>1</v>
      </c>
      <c r="F977">
        <v>16</v>
      </c>
      <c r="G977" s="4">
        <v>45597</v>
      </c>
      <c r="H977" s="5">
        <v>14854.89</v>
      </c>
    </row>
    <row r="978" spans="1:8" x14ac:dyDescent="0.3">
      <c r="A978">
        <v>4977</v>
      </c>
      <c r="B978">
        <v>1256</v>
      </c>
      <c r="C978">
        <v>2008</v>
      </c>
      <c r="D978">
        <v>3019</v>
      </c>
      <c r="E978">
        <v>3</v>
      </c>
      <c r="F978">
        <v>1</v>
      </c>
      <c r="G978" s="4">
        <v>45585</v>
      </c>
      <c r="H978" s="5">
        <v>6373.4</v>
      </c>
    </row>
    <row r="979" spans="1:8" x14ac:dyDescent="0.3">
      <c r="A979">
        <v>4978</v>
      </c>
      <c r="B979">
        <v>1259</v>
      </c>
      <c r="C979">
        <v>2008</v>
      </c>
      <c r="D979">
        <v>3004</v>
      </c>
      <c r="E979">
        <v>1</v>
      </c>
      <c r="F979">
        <v>26</v>
      </c>
      <c r="G979" s="4">
        <v>45603</v>
      </c>
      <c r="H979" s="5">
        <v>1573.8</v>
      </c>
    </row>
    <row r="980" spans="1:8" x14ac:dyDescent="0.3">
      <c r="A980">
        <v>4979</v>
      </c>
      <c r="B980">
        <v>1133</v>
      </c>
      <c r="C980">
        <v>2023</v>
      </c>
      <c r="D980">
        <v>3025</v>
      </c>
      <c r="E980">
        <v>4</v>
      </c>
      <c r="F980">
        <v>9</v>
      </c>
      <c r="G980" s="4">
        <v>45600</v>
      </c>
      <c r="H980" s="5">
        <v>17356.2</v>
      </c>
    </row>
    <row r="981" spans="1:8" x14ac:dyDescent="0.3">
      <c r="A981">
        <v>4980</v>
      </c>
      <c r="B981">
        <v>1272</v>
      </c>
      <c r="C981">
        <v>2020</v>
      </c>
      <c r="D981">
        <v>3017</v>
      </c>
      <c r="E981">
        <v>2</v>
      </c>
      <c r="F981">
        <v>3</v>
      </c>
      <c r="G981" s="4">
        <v>45605</v>
      </c>
      <c r="H981" s="5">
        <v>8697.83</v>
      </c>
    </row>
    <row r="982" spans="1:8" x14ac:dyDescent="0.3">
      <c r="A982">
        <v>4981</v>
      </c>
      <c r="B982">
        <v>1190</v>
      </c>
      <c r="C982">
        <v>2009</v>
      </c>
      <c r="D982">
        <v>3031</v>
      </c>
      <c r="E982">
        <v>2</v>
      </c>
      <c r="F982">
        <v>23</v>
      </c>
      <c r="G982" s="4">
        <v>45582</v>
      </c>
      <c r="H982" s="5">
        <v>17045.52</v>
      </c>
    </row>
    <row r="983" spans="1:8" x14ac:dyDescent="0.3">
      <c r="A983">
        <v>4982</v>
      </c>
      <c r="B983">
        <v>1246</v>
      </c>
      <c r="C983">
        <v>2013</v>
      </c>
      <c r="D983">
        <v>3022</v>
      </c>
      <c r="E983">
        <v>1</v>
      </c>
      <c r="F983">
        <v>24</v>
      </c>
      <c r="G983" s="4">
        <v>45604</v>
      </c>
      <c r="H983" s="5">
        <v>8982.06</v>
      </c>
    </row>
    <row r="984" spans="1:8" x14ac:dyDescent="0.3">
      <c r="A984">
        <v>4983</v>
      </c>
      <c r="B984">
        <v>1109</v>
      </c>
      <c r="C984">
        <v>2018</v>
      </c>
      <c r="D984">
        <v>3005</v>
      </c>
      <c r="E984">
        <v>3</v>
      </c>
      <c r="F984">
        <v>20</v>
      </c>
      <c r="G984" s="4">
        <v>45576</v>
      </c>
      <c r="H984" s="5">
        <v>17439.7</v>
      </c>
    </row>
    <row r="985" spans="1:8" x14ac:dyDescent="0.3">
      <c r="A985">
        <v>4984</v>
      </c>
      <c r="B985">
        <v>1184</v>
      </c>
      <c r="C985">
        <v>2012</v>
      </c>
      <c r="D985">
        <v>3022</v>
      </c>
      <c r="E985">
        <v>5</v>
      </c>
      <c r="F985">
        <v>8</v>
      </c>
      <c r="G985" s="4">
        <v>45585</v>
      </c>
      <c r="H985" s="5">
        <v>54540.73</v>
      </c>
    </row>
    <row r="986" spans="1:8" x14ac:dyDescent="0.3">
      <c r="A986">
        <v>4985</v>
      </c>
      <c r="B986">
        <v>1136</v>
      </c>
      <c r="C986">
        <v>2011</v>
      </c>
      <c r="D986">
        <v>3019</v>
      </c>
      <c r="E986">
        <v>1</v>
      </c>
      <c r="F986">
        <v>3</v>
      </c>
      <c r="G986" s="4">
        <v>45607</v>
      </c>
      <c r="H986" s="5">
        <v>7257.32</v>
      </c>
    </row>
    <row r="987" spans="1:8" x14ac:dyDescent="0.3">
      <c r="A987">
        <v>4986</v>
      </c>
      <c r="B987">
        <v>1283</v>
      </c>
      <c r="C987">
        <v>2020</v>
      </c>
      <c r="D987">
        <v>3002</v>
      </c>
      <c r="E987">
        <v>2</v>
      </c>
      <c r="F987">
        <v>7</v>
      </c>
      <c r="G987" s="4">
        <v>45609</v>
      </c>
      <c r="H987" s="5">
        <v>8400.26</v>
      </c>
    </row>
    <row r="988" spans="1:8" x14ac:dyDescent="0.3">
      <c r="A988">
        <v>4987</v>
      </c>
      <c r="B988">
        <v>1037</v>
      </c>
      <c r="C988">
        <v>2011</v>
      </c>
      <c r="D988">
        <v>3019</v>
      </c>
      <c r="E988">
        <v>5</v>
      </c>
      <c r="F988">
        <v>18</v>
      </c>
      <c r="G988" s="4">
        <v>45611</v>
      </c>
      <c r="H988" s="5">
        <v>30758.13</v>
      </c>
    </row>
    <row r="989" spans="1:8" x14ac:dyDescent="0.3">
      <c r="A989">
        <v>4988</v>
      </c>
      <c r="B989">
        <v>1196</v>
      </c>
      <c r="C989">
        <v>2017</v>
      </c>
      <c r="D989">
        <v>3030</v>
      </c>
      <c r="E989">
        <v>4</v>
      </c>
      <c r="F989">
        <v>16</v>
      </c>
      <c r="G989" s="4">
        <v>45605</v>
      </c>
      <c r="H989" s="5">
        <v>27406.73</v>
      </c>
    </row>
    <row r="990" spans="1:8" x14ac:dyDescent="0.3">
      <c r="A990">
        <v>4989</v>
      </c>
      <c r="B990">
        <v>1265</v>
      </c>
      <c r="C990">
        <v>2022</v>
      </c>
      <c r="D990">
        <v>3024</v>
      </c>
      <c r="E990">
        <v>3</v>
      </c>
      <c r="F990">
        <v>15</v>
      </c>
      <c r="G990" s="4">
        <v>45586</v>
      </c>
      <c r="H990" s="5">
        <v>43539.6</v>
      </c>
    </row>
    <row r="991" spans="1:8" x14ac:dyDescent="0.3">
      <c r="A991">
        <v>4990</v>
      </c>
      <c r="B991">
        <v>1067</v>
      </c>
      <c r="C991">
        <v>2020</v>
      </c>
      <c r="D991">
        <v>3006</v>
      </c>
      <c r="E991">
        <v>5</v>
      </c>
      <c r="F991">
        <v>7</v>
      </c>
      <c r="G991" s="4">
        <v>45612</v>
      </c>
      <c r="H991" s="5">
        <v>20917.48</v>
      </c>
    </row>
    <row r="992" spans="1:8" x14ac:dyDescent="0.3">
      <c r="A992">
        <v>4991</v>
      </c>
      <c r="B992">
        <v>1174</v>
      </c>
      <c r="C992">
        <v>2022</v>
      </c>
      <c r="D992">
        <v>3022</v>
      </c>
      <c r="E992">
        <v>4</v>
      </c>
      <c r="F992">
        <v>30</v>
      </c>
      <c r="G992" s="4">
        <v>45579</v>
      </c>
      <c r="H992" s="5">
        <v>48257.29</v>
      </c>
    </row>
    <row r="993" spans="1:8" x14ac:dyDescent="0.3">
      <c r="A993">
        <v>4992</v>
      </c>
      <c r="B993">
        <v>1047</v>
      </c>
      <c r="C993">
        <v>2016</v>
      </c>
      <c r="D993">
        <v>3003</v>
      </c>
      <c r="E993">
        <v>2</v>
      </c>
      <c r="F993">
        <v>4</v>
      </c>
      <c r="G993" s="4">
        <v>45612</v>
      </c>
      <c r="H993" s="5">
        <v>23475.26</v>
      </c>
    </row>
    <row r="994" spans="1:8" x14ac:dyDescent="0.3">
      <c r="A994">
        <v>4993</v>
      </c>
      <c r="B994">
        <v>1082</v>
      </c>
      <c r="C994">
        <v>2015</v>
      </c>
      <c r="D994">
        <v>3010</v>
      </c>
      <c r="E994">
        <v>2</v>
      </c>
      <c r="F994">
        <v>30</v>
      </c>
      <c r="G994" s="4">
        <v>45585</v>
      </c>
      <c r="H994" s="5">
        <v>24811.08</v>
      </c>
    </row>
    <row r="995" spans="1:8" x14ac:dyDescent="0.3">
      <c r="A995">
        <v>4994</v>
      </c>
      <c r="B995">
        <v>1023</v>
      </c>
      <c r="C995">
        <v>2011</v>
      </c>
      <c r="D995">
        <v>3001</v>
      </c>
      <c r="E995">
        <v>1</v>
      </c>
      <c r="F995">
        <v>18</v>
      </c>
      <c r="G995" s="4">
        <v>45612</v>
      </c>
      <c r="H995" s="5">
        <v>6157.61</v>
      </c>
    </row>
    <row r="996" spans="1:8" x14ac:dyDescent="0.3">
      <c r="A996">
        <v>4995</v>
      </c>
      <c r="B996">
        <v>1006</v>
      </c>
      <c r="C996">
        <v>2022</v>
      </c>
      <c r="D996">
        <v>3007</v>
      </c>
      <c r="E996">
        <v>1</v>
      </c>
      <c r="F996">
        <v>20</v>
      </c>
      <c r="G996" s="4">
        <v>45595</v>
      </c>
      <c r="H996" s="5">
        <v>13717.49</v>
      </c>
    </row>
    <row r="997" spans="1:8" x14ac:dyDescent="0.3">
      <c r="A997">
        <v>4996</v>
      </c>
      <c r="B997">
        <v>1144</v>
      </c>
      <c r="C997">
        <v>2020</v>
      </c>
      <c r="D997">
        <v>3024</v>
      </c>
      <c r="E997">
        <v>3</v>
      </c>
      <c r="F997">
        <v>19</v>
      </c>
      <c r="G997" s="4">
        <v>45608</v>
      </c>
      <c r="H997" s="5">
        <v>10858.12</v>
      </c>
    </row>
    <row r="998" spans="1:8" x14ac:dyDescent="0.3">
      <c r="A998">
        <v>4997</v>
      </c>
      <c r="B998">
        <v>1019</v>
      </c>
      <c r="C998">
        <v>2007</v>
      </c>
      <c r="D998">
        <v>3001</v>
      </c>
      <c r="E998">
        <v>3</v>
      </c>
      <c r="F998">
        <v>19</v>
      </c>
      <c r="G998" s="4">
        <v>45602</v>
      </c>
      <c r="H998" s="5">
        <v>8272.74</v>
      </c>
    </row>
    <row r="999" spans="1:8" x14ac:dyDescent="0.3">
      <c r="A999">
        <v>4998</v>
      </c>
      <c r="B999">
        <v>1270</v>
      </c>
      <c r="C999">
        <v>2016</v>
      </c>
      <c r="D999">
        <v>3026</v>
      </c>
      <c r="E999">
        <v>5</v>
      </c>
      <c r="F999">
        <v>30</v>
      </c>
      <c r="G999" s="4">
        <v>45591</v>
      </c>
      <c r="H999" s="5">
        <v>42920.45</v>
      </c>
    </row>
    <row r="1000" spans="1:8" x14ac:dyDescent="0.3">
      <c r="A1000">
        <v>4999</v>
      </c>
      <c r="B1000">
        <v>1099</v>
      </c>
      <c r="C1000">
        <v>2020</v>
      </c>
      <c r="D1000">
        <v>3021</v>
      </c>
      <c r="E1000">
        <v>3</v>
      </c>
      <c r="F1000">
        <v>1</v>
      </c>
      <c r="G1000" s="4">
        <v>45616</v>
      </c>
      <c r="H1000" s="5">
        <v>13311.04</v>
      </c>
    </row>
    <row r="1001" spans="1:8" x14ac:dyDescent="0.3">
      <c r="A1001">
        <v>5000</v>
      </c>
      <c r="B1001">
        <v>1188</v>
      </c>
      <c r="C1001">
        <v>2012</v>
      </c>
      <c r="D1001">
        <v>3016</v>
      </c>
      <c r="E1001">
        <v>3</v>
      </c>
      <c r="F1001">
        <v>3</v>
      </c>
      <c r="G1001" s="4">
        <v>45596</v>
      </c>
      <c r="H1001" s="5">
        <v>34639.769999999997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E2" sqref="E2"/>
    </sheetView>
  </sheetViews>
  <sheetFormatPr defaultRowHeight="14.4" x14ac:dyDescent="0.3"/>
  <cols>
    <col min="1" max="1" width="14.44140625" customWidth="1"/>
    <col min="2" max="2" width="19.44140625" customWidth="1"/>
    <col min="3" max="3" width="14.109375" customWidth="1"/>
    <col min="4" max="4" width="11.6640625" customWidth="1"/>
  </cols>
  <sheetData>
    <row r="1" spans="1:4" x14ac:dyDescent="0.3">
      <c r="A1" s="1" t="s">
        <v>321</v>
      </c>
      <c r="B1" s="1" t="s">
        <v>322</v>
      </c>
      <c r="C1" s="1" t="s">
        <v>323</v>
      </c>
      <c r="D1" s="1" t="s">
        <v>324</v>
      </c>
    </row>
    <row r="2" spans="1:4" x14ac:dyDescent="0.3">
      <c r="A2">
        <v>2001</v>
      </c>
      <c r="B2" t="s">
        <v>325</v>
      </c>
      <c r="C2" t="s">
        <v>326</v>
      </c>
      <c r="D2">
        <v>7228</v>
      </c>
    </row>
    <row r="3" spans="1:4" x14ac:dyDescent="0.3">
      <c r="A3">
        <v>2002</v>
      </c>
      <c r="B3" t="s">
        <v>327</v>
      </c>
      <c r="C3" t="s">
        <v>328</v>
      </c>
      <c r="D3">
        <v>9534</v>
      </c>
    </row>
    <row r="4" spans="1:4" x14ac:dyDescent="0.3">
      <c r="A4">
        <v>2003</v>
      </c>
      <c r="B4" t="s">
        <v>329</v>
      </c>
      <c r="C4" t="s">
        <v>328</v>
      </c>
      <c r="D4">
        <v>13241</v>
      </c>
    </row>
    <row r="5" spans="1:4" x14ac:dyDescent="0.3">
      <c r="A5">
        <v>2004</v>
      </c>
      <c r="B5" t="s">
        <v>330</v>
      </c>
      <c r="C5" t="s">
        <v>331</v>
      </c>
      <c r="D5">
        <v>4952</v>
      </c>
    </row>
    <row r="6" spans="1:4" x14ac:dyDescent="0.3">
      <c r="A6">
        <v>2005</v>
      </c>
      <c r="B6" t="s">
        <v>332</v>
      </c>
      <c r="C6" t="s">
        <v>333</v>
      </c>
      <c r="D6">
        <v>3828</v>
      </c>
    </row>
    <row r="7" spans="1:4" x14ac:dyDescent="0.3">
      <c r="A7">
        <v>2006</v>
      </c>
      <c r="B7" t="s">
        <v>334</v>
      </c>
      <c r="C7" t="s">
        <v>335</v>
      </c>
      <c r="D7">
        <v>12060</v>
      </c>
    </row>
    <row r="8" spans="1:4" x14ac:dyDescent="0.3">
      <c r="A8">
        <v>2007</v>
      </c>
      <c r="B8" t="s">
        <v>336</v>
      </c>
      <c r="C8" t="s">
        <v>326</v>
      </c>
      <c r="D8">
        <v>3412</v>
      </c>
    </row>
    <row r="9" spans="1:4" x14ac:dyDescent="0.3">
      <c r="A9">
        <v>2008</v>
      </c>
      <c r="B9" t="s">
        <v>337</v>
      </c>
      <c r="C9" t="s">
        <v>333</v>
      </c>
      <c r="D9">
        <v>2136</v>
      </c>
    </row>
    <row r="10" spans="1:4" x14ac:dyDescent="0.3">
      <c r="A10">
        <v>2009</v>
      </c>
      <c r="B10" t="s">
        <v>338</v>
      </c>
      <c r="C10" t="s">
        <v>331</v>
      </c>
      <c r="D10">
        <v>11047</v>
      </c>
    </row>
    <row r="11" spans="1:4" x14ac:dyDescent="0.3">
      <c r="A11">
        <v>2010</v>
      </c>
      <c r="B11" t="s">
        <v>339</v>
      </c>
      <c r="C11" t="s">
        <v>326</v>
      </c>
      <c r="D11">
        <v>17909</v>
      </c>
    </row>
    <row r="12" spans="1:4" x14ac:dyDescent="0.3">
      <c r="A12">
        <v>2011</v>
      </c>
      <c r="B12" t="s">
        <v>340</v>
      </c>
      <c r="C12" t="s">
        <v>341</v>
      </c>
      <c r="D12">
        <v>7481</v>
      </c>
    </row>
    <row r="13" spans="1:4" x14ac:dyDescent="0.3">
      <c r="A13">
        <v>2012</v>
      </c>
      <c r="B13" t="s">
        <v>342</v>
      </c>
      <c r="C13" t="s">
        <v>333</v>
      </c>
      <c r="D13">
        <v>11867</v>
      </c>
    </row>
    <row r="14" spans="1:4" x14ac:dyDescent="0.3">
      <c r="A14">
        <v>2013</v>
      </c>
      <c r="B14" t="s">
        <v>343</v>
      </c>
      <c r="C14" t="s">
        <v>344</v>
      </c>
      <c r="D14">
        <v>11845</v>
      </c>
    </row>
    <row r="15" spans="1:4" x14ac:dyDescent="0.3">
      <c r="A15">
        <v>2014</v>
      </c>
      <c r="B15" t="s">
        <v>345</v>
      </c>
      <c r="C15" t="s">
        <v>344</v>
      </c>
      <c r="D15">
        <v>13823</v>
      </c>
    </row>
    <row r="16" spans="1:4" x14ac:dyDescent="0.3">
      <c r="A16">
        <v>2015</v>
      </c>
      <c r="B16" t="s">
        <v>346</v>
      </c>
      <c r="C16" t="s">
        <v>333</v>
      </c>
      <c r="D16">
        <v>17604</v>
      </c>
    </row>
    <row r="17" spans="1:4" x14ac:dyDescent="0.3">
      <c r="A17">
        <v>2016</v>
      </c>
      <c r="B17" t="s">
        <v>347</v>
      </c>
      <c r="C17" t="s">
        <v>333</v>
      </c>
      <c r="D17">
        <v>12242</v>
      </c>
    </row>
    <row r="18" spans="1:4" x14ac:dyDescent="0.3">
      <c r="A18">
        <v>2017</v>
      </c>
      <c r="B18" t="s">
        <v>348</v>
      </c>
      <c r="C18" t="s">
        <v>333</v>
      </c>
      <c r="D18">
        <v>8186</v>
      </c>
    </row>
    <row r="19" spans="1:4" x14ac:dyDescent="0.3">
      <c r="A19">
        <v>2018</v>
      </c>
      <c r="B19" t="s">
        <v>349</v>
      </c>
      <c r="C19" t="s">
        <v>326</v>
      </c>
      <c r="D19">
        <v>7243</v>
      </c>
    </row>
    <row r="20" spans="1:4" x14ac:dyDescent="0.3">
      <c r="A20">
        <v>2019</v>
      </c>
      <c r="B20" t="s">
        <v>350</v>
      </c>
      <c r="C20" t="s">
        <v>328</v>
      </c>
      <c r="D20">
        <v>13620</v>
      </c>
    </row>
    <row r="21" spans="1:4" x14ac:dyDescent="0.3">
      <c r="A21">
        <v>2020</v>
      </c>
      <c r="B21" t="s">
        <v>351</v>
      </c>
      <c r="C21" t="s">
        <v>344</v>
      </c>
      <c r="D21">
        <v>4495</v>
      </c>
    </row>
    <row r="22" spans="1:4" x14ac:dyDescent="0.3">
      <c r="A22">
        <v>2021</v>
      </c>
      <c r="B22" t="s">
        <v>352</v>
      </c>
      <c r="C22" t="s">
        <v>331</v>
      </c>
      <c r="D22">
        <v>17586</v>
      </c>
    </row>
    <row r="23" spans="1:4" x14ac:dyDescent="0.3">
      <c r="A23">
        <v>2022</v>
      </c>
      <c r="B23" t="s">
        <v>353</v>
      </c>
      <c r="C23" t="s">
        <v>333</v>
      </c>
      <c r="D23">
        <v>17149</v>
      </c>
    </row>
    <row r="24" spans="1:4" x14ac:dyDescent="0.3">
      <c r="A24">
        <v>2023</v>
      </c>
      <c r="B24" t="s">
        <v>354</v>
      </c>
      <c r="C24" t="s">
        <v>328</v>
      </c>
      <c r="D24">
        <v>4794</v>
      </c>
    </row>
    <row r="25" spans="1:4" x14ac:dyDescent="0.3">
      <c r="A25">
        <v>2024</v>
      </c>
      <c r="B25" t="s">
        <v>355</v>
      </c>
      <c r="C25" t="s">
        <v>356</v>
      </c>
      <c r="D25">
        <v>16272</v>
      </c>
    </row>
    <row r="26" spans="1:4" x14ac:dyDescent="0.3">
      <c r="A26">
        <v>2025</v>
      </c>
      <c r="B26" t="s">
        <v>357</v>
      </c>
      <c r="C26" t="s">
        <v>356</v>
      </c>
      <c r="D26">
        <v>17019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FA56-D983-424D-B68E-EA18D50E5741}">
  <dimension ref="A1:L1001"/>
  <sheetViews>
    <sheetView tabSelected="1" workbookViewId="0">
      <selection activeCell="M5" sqref="M5"/>
    </sheetView>
  </sheetViews>
  <sheetFormatPr defaultRowHeight="14.4" x14ac:dyDescent="0.3"/>
  <cols>
    <col min="1" max="1" width="14.21875" customWidth="1"/>
    <col min="2" max="2" width="12.88671875" customWidth="1"/>
    <col min="3" max="3" width="12" customWidth="1"/>
    <col min="4" max="4" width="15.77734375" customWidth="1"/>
    <col min="6" max="6" width="12.109375" customWidth="1"/>
    <col min="7" max="7" width="16.88671875" customWidth="1"/>
    <col min="8" max="8" width="13" customWidth="1"/>
    <col min="10" max="10" width="11.88671875" customWidth="1"/>
    <col min="11" max="11" width="13.44140625" customWidth="1"/>
    <col min="12" max="12" width="12.88671875" style="5" customWidth="1"/>
  </cols>
  <sheetData>
    <row r="1" spans="1:12" x14ac:dyDescent="0.3">
      <c r="A1" s="1" t="s">
        <v>0</v>
      </c>
      <c r="B1" s="1" t="s">
        <v>321</v>
      </c>
      <c r="C1" s="1" t="s">
        <v>358</v>
      </c>
      <c r="D1" s="7" t="s">
        <v>916</v>
      </c>
      <c r="E1" s="7" t="s">
        <v>2</v>
      </c>
      <c r="F1" s="7" t="s">
        <v>3</v>
      </c>
      <c r="G1" s="7" t="s">
        <v>915</v>
      </c>
      <c r="H1" s="7" t="s">
        <v>323</v>
      </c>
      <c r="I1" s="7" t="s">
        <v>324</v>
      </c>
      <c r="J1" s="7" t="s">
        <v>917</v>
      </c>
      <c r="K1" s="7" t="s">
        <v>918</v>
      </c>
      <c r="L1" s="10" t="s">
        <v>919</v>
      </c>
    </row>
    <row r="2" spans="1:12" x14ac:dyDescent="0.3">
      <c r="A2">
        <v>1136</v>
      </c>
      <c r="B2">
        <v>2025</v>
      </c>
      <c r="C2">
        <v>3003</v>
      </c>
      <c r="D2" t="str">
        <f>VLOOKUP('Sales table'!$A:$A,Customers!$A:$H,2,FALSE)</f>
        <v>Brooke Oliver</v>
      </c>
      <c r="E2">
        <f>VLOOKUP('Sales table'!$A:$A,Customers!$A:$H,4,FALSE)</f>
        <v>30</v>
      </c>
      <c r="F2" t="str">
        <f>VLOOKUP('Sales table'!$A:$A,Customers!$A:$H,5,FALSE)</f>
        <v>Chennai</v>
      </c>
      <c r="G2" t="str">
        <f>VLOOKUP($B:$B,Products!$A:$D,2,FALSE)</f>
        <v>Handbag</v>
      </c>
      <c r="H2" t="str">
        <f>VLOOKUP($B:$B,Products!$A:$D,3,FALSE)</f>
        <v>Accessories</v>
      </c>
      <c r="I2">
        <f>VLOOKUP($B:$B,Products!$A:$D,4,FALSE)</f>
        <v>17019</v>
      </c>
      <c r="J2" s="4">
        <f>VLOOKUP($A:$A,Sales!$B:$H,6,FALSE)</f>
        <v>45587</v>
      </c>
      <c r="K2" s="9">
        <f>VLOOKUP($A:$A,Sales!$B:$H,4,FALSE)</f>
        <v>4</v>
      </c>
      <c r="L2" s="5">
        <f>I2*K2</f>
        <v>68076</v>
      </c>
    </row>
    <row r="3" spans="1:12" x14ac:dyDescent="0.3">
      <c r="A3">
        <v>1233</v>
      </c>
      <c r="B3">
        <v>2023</v>
      </c>
      <c r="C3">
        <v>3021</v>
      </c>
      <c r="D3" t="str">
        <f>VLOOKUP('Sales table'!$A:$A,Customers!$A:$H,2,FALSE)</f>
        <v>Matthew Jennings</v>
      </c>
      <c r="E3">
        <f>VLOOKUP('Sales table'!$A:$A,Customers!$A:$H,4,FALSE)</f>
        <v>65</v>
      </c>
      <c r="F3" t="str">
        <f>VLOOKUP('Sales table'!$A:$A,Customers!$A:$H,5,FALSE)</f>
        <v>Bangalore</v>
      </c>
      <c r="G3" t="str">
        <f>VLOOKUP($B:$B,Products!$A:$D,2,FALSE)</f>
        <v>Kids Wear</v>
      </c>
      <c r="H3" t="str">
        <f>VLOOKUP($B:$B,Products!$A:$D,3,FALSE)</f>
        <v>Clothing</v>
      </c>
      <c r="I3">
        <f>VLOOKUP($B:$B,Products!$A:$D,4,FALSE)</f>
        <v>4794</v>
      </c>
      <c r="J3" s="4">
        <f>VLOOKUP($A:$A,Sales!$B:$H,6,FALSE)</f>
        <v>45593</v>
      </c>
      <c r="K3" s="9">
        <f>VLOOKUP($A:$A,Sales!$B:$H,4,FALSE)</f>
        <v>3</v>
      </c>
      <c r="L3" s="5">
        <f t="shared" ref="L3:L66" si="0">I3*K3</f>
        <v>14382</v>
      </c>
    </row>
    <row r="4" spans="1:12" x14ac:dyDescent="0.3">
      <c r="A4">
        <v>1267</v>
      </c>
      <c r="B4">
        <v>2015</v>
      </c>
      <c r="C4">
        <v>3012</v>
      </c>
      <c r="D4" t="str">
        <f>VLOOKUP('Sales table'!$A:$A,Customers!$A:$H,2,FALSE)</f>
        <v>Sharon Cannon</v>
      </c>
      <c r="E4">
        <f>VLOOKUP('Sales table'!$A:$A,Customers!$A:$H,4,FALSE)</f>
        <v>55</v>
      </c>
      <c r="F4" t="str">
        <f>VLOOKUP('Sales table'!$A:$A,Customers!$A:$H,5,FALSE)</f>
        <v>Mumbai</v>
      </c>
      <c r="G4" t="str">
        <f>VLOOKUP($B:$B,Products!$A:$D,2,FALSE)</f>
        <v>Candle Set</v>
      </c>
      <c r="H4" t="str">
        <f>VLOOKUP($B:$B,Products!$A:$D,3,FALSE)</f>
        <v>Home Decor</v>
      </c>
      <c r="I4">
        <f>VLOOKUP($B:$B,Products!$A:$D,4,FALSE)</f>
        <v>17604</v>
      </c>
      <c r="J4" s="4">
        <f>VLOOKUP($A:$A,Sales!$B:$H,6,FALSE)</f>
        <v>45593</v>
      </c>
      <c r="K4" s="9">
        <f>VLOOKUP($A:$A,Sales!$B:$H,4,FALSE)</f>
        <v>3</v>
      </c>
      <c r="L4" s="5">
        <f t="shared" si="0"/>
        <v>52812</v>
      </c>
    </row>
    <row r="5" spans="1:12" x14ac:dyDescent="0.3">
      <c r="A5">
        <v>1031</v>
      </c>
      <c r="B5">
        <v>2003</v>
      </c>
      <c r="C5">
        <v>3019</v>
      </c>
      <c r="D5" t="str">
        <f>VLOOKUP('Sales table'!$A:$A,Customers!$A:$H,2,FALSE)</f>
        <v>William Smith</v>
      </c>
      <c r="E5">
        <f>VLOOKUP('Sales table'!$A:$A,Customers!$A:$H,4,FALSE)</f>
        <v>46</v>
      </c>
      <c r="F5" t="str">
        <f>VLOOKUP('Sales table'!$A:$A,Customers!$A:$H,5,FALSE)</f>
        <v>Hyderabad</v>
      </c>
      <c r="G5" t="str">
        <f>VLOOKUP($B:$B,Products!$A:$D,2,FALSE)</f>
        <v>Kurta</v>
      </c>
      <c r="H5" t="str">
        <f>VLOOKUP($B:$B,Products!$A:$D,3,FALSE)</f>
        <v>Clothing</v>
      </c>
      <c r="I5">
        <f>VLOOKUP($B:$B,Products!$A:$D,4,FALSE)</f>
        <v>13241</v>
      </c>
      <c r="J5" s="4">
        <f>VLOOKUP($A:$A,Sales!$B:$H,6,FALSE)</f>
        <v>45612</v>
      </c>
      <c r="K5" s="9">
        <f>VLOOKUP($A:$A,Sales!$B:$H,4,FALSE)</f>
        <v>1</v>
      </c>
      <c r="L5" s="5">
        <f t="shared" si="0"/>
        <v>13241</v>
      </c>
    </row>
    <row r="6" spans="1:12" x14ac:dyDescent="0.3">
      <c r="A6">
        <v>1237</v>
      </c>
      <c r="B6">
        <v>2002</v>
      </c>
      <c r="C6">
        <v>3006</v>
      </c>
      <c r="D6" t="str">
        <f>VLOOKUP('Sales table'!$A:$A,Customers!$A:$H,2,FALSE)</f>
        <v>Oscar Diaz</v>
      </c>
      <c r="E6">
        <f>VLOOKUP('Sales table'!$A:$A,Customers!$A:$H,4,FALSE)</f>
        <v>49</v>
      </c>
      <c r="F6" t="str">
        <f>VLOOKUP('Sales table'!$A:$A,Customers!$A:$H,5,FALSE)</f>
        <v>Kolkata</v>
      </c>
      <c r="G6" t="str">
        <f>VLOOKUP($B:$B,Products!$A:$D,2,FALSE)</f>
        <v>Saree</v>
      </c>
      <c r="H6" t="str">
        <f>VLOOKUP($B:$B,Products!$A:$D,3,FALSE)</f>
        <v>Clothing</v>
      </c>
      <c r="I6">
        <f>VLOOKUP($B:$B,Products!$A:$D,4,FALSE)</f>
        <v>9534</v>
      </c>
      <c r="J6" s="4">
        <f>VLOOKUP($A:$A,Sales!$B:$H,6,FALSE)</f>
        <v>45615</v>
      </c>
      <c r="K6" s="9">
        <f>VLOOKUP($A:$A,Sales!$B:$H,4,FALSE)</f>
        <v>5</v>
      </c>
      <c r="L6" s="5">
        <f t="shared" si="0"/>
        <v>47670</v>
      </c>
    </row>
    <row r="7" spans="1:12" x14ac:dyDescent="0.3">
      <c r="A7">
        <v>1095</v>
      </c>
      <c r="B7">
        <v>2021</v>
      </c>
      <c r="C7">
        <v>3012</v>
      </c>
      <c r="D7" t="str">
        <f>VLOOKUP('Sales table'!$A:$A,Customers!$A:$H,2,FALSE)</f>
        <v>Edward Johnson</v>
      </c>
      <c r="E7">
        <f>VLOOKUP('Sales table'!$A:$A,Customers!$A:$H,4,FALSE)</f>
        <v>49</v>
      </c>
      <c r="F7" t="str">
        <f>VLOOKUP('Sales table'!$A:$A,Customers!$A:$H,5,FALSE)</f>
        <v>Kolkata</v>
      </c>
      <c r="G7" t="str">
        <f>VLOOKUP($B:$B,Products!$A:$D,2,FALSE)</f>
        <v>Smartwatch</v>
      </c>
      <c r="H7" t="str">
        <f>VLOOKUP($B:$B,Products!$A:$D,3,FALSE)</f>
        <v>Electronics</v>
      </c>
      <c r="I7">
        <f>VLOOKUP($B:$B,Products!$A:$D,4,FALSE)</f>
        <v>17586</v>
      </c>
      <c r="J7" s="4">
        <f>VLOOKUP($A:$A,Sales!$B:$H,6,FALSE)</f>
        <v>45594</v>
      </c>
      <c r="K7" s="9">
        <f>VLOOKUP($A:$A,Sales!$B:$H,4,FALSE)</f>
        <v>1</v>
      </c>
      <c r="L7" s="5">
        <f t="shared" si="0"/>
        <v>17586</v>
      </c>
    </row>
    <row r="8" spans="1:12" x14ac:dyDescent="0.3">
      <c r="A8">
        <v>1105</v>
      </c>
      <c r="B8">
        <v>2012</v>
      </c>
      <c r="C8">
        <v>3011</v>
      </c>
      <c r="D8" t="str">
        <f>VLOOKUP('Sales table'!$A:$A,Customers!$A:$H,2,FALSE)</f>
        <v>Randall Odonnell</v>
      </c>
      <c r="E8">
        <f>VLOOKUP('Sales table'!$A:$A,Customers!$A:$H,4,FALSE)</f>
        <v>33</v>
      </c>
      <c r="F8" t="str">
        <f>VLOOKUP('Sales table'!$A:$A,Customers!$A:$H,5,FALSE)</f>
        <v>Mumbai</v>
      </c>
      <c r="G8" t="str">
        <f>VLOOKUP($B:$B,Products!$A:$D,2,FALSE)</f>
        <v>Wall Hanging</v>
      </c>
      <c r="H8" t="str">
        <f>VLOOKUP($B:$B,Products!$A:$D,3,FALSE)</f>
        <v>Home Decor</v>
      </c>
      <c r="I8">
        <f>VLOOKUP($B:$B,Products!$A:$D,4,FALSE)</f>
        <v>11867</v>
      </c>
      <c r="J8" s="4">
        <f>VLOOKUP($A:$A,Sales!$B:$H,6,FALSE)</f>
        <v>45600</v>
      </c>
      <c r="K8" s="9">
        <f>VLOOKUP($A:$A,Sales!$B:$H,4,FALSE)</f>
        <v>1</v>
      </c>
      <c r="L8" s="5">
        <f t="shared" si="0"/>
        <v>11867</v>
      </c>
    </row>
    <row r="9" spans="1:12" x14ac:dyDescent="0.3">
      <c r="A9">
        <v>1007</v>
      </c>
      <c r="B9">
        <v>2012</v>
      </c>
      <c r="C9">
        <v>3032</v>
      </c>
      <c r="D9" t="str">
        <f>VLOOKUP('Sales table'!$A:$A,Customers!$A:$H,2,FALSE)</f>
        <v>Daniel Quinn</v>
      </c>
      <c r="E9">
        <f>VLOOKUP('Sales table'!$A:$A,Customers!$A:$H,4,FALSE)</f>
        <v>40</v>
      </c>
      <c r="F9" t="str">
        <f>VLOOKUP('Sales table'!$A:$A,Customers!$A:$H,5,FALSE)</f>
        <v>Pune</v>
      </c>
      <c r="G9" t="str">
        <f>VLOOKUP($B:$B,Products!$A:$D,2,FALSE)</f>
        <v>Wall Hanging</v>
      </c>
      <c r="H9" t="str">
        <f>VLOOKUP($B:$B,Products!$A:$D,3,FALSE)</f>
        <v>Home Decor</v>
      </c>
      <c r="I9">
        <f>VLOOKUP($B:$B,Products!$A:$D,4,FALSE)</f>
        <v>11867</v>
      </c>
      <c r="J9" s="4">
        <f>VLOOKUP($A:$A,Sales!$B:$H,6,FALSE)</f>
        <v>45593</v>
      </c>
      <c r="K9" s="9">
        <f>VLOOKUP($A:$A,Sales!$B:$H,4,FALSE)</f>
        <v>2</v>
      </c>
      <c r="L9" s="5">
        <f t="shared" si="0"/>
        <v>23734</v>
      </c>
    </row>
    <row r="10" spans="1:12" x14ac:dyDescent="0.3">
      <c r="A10">
        <v>1239</v>
      </c>
      <c r="B10">
        <v>2016</v>
      </c>
      <c r="C10">
        <v>3014</v>
      </c>
      <c r="D10" t="str">
        <f>VLOOKUP('Sales table'!$A:$A,Customers!$A:$H,2,FALSE)</f>
        <v>Robert Burton</v>
      </c>
      <c r="E10">
        <f>VLOOKUP('Sales table'!$A:$A,Customers!$A:$H,4,FALSE)</f>
        <v>32</v>
      </c>
      <c r="F10" t="str">
        <f>VLOOKUP('Sales table'!$A:$A,Customers!$A:$H,5,FALSE)</f>
        <v>Chennai</v>
      </c>
      <c r="G10" t="str">
        <f>VLOOKUP($B:$B,Products!$A:$D,2,FALSE)</f>
        <v>Fairy Lights</v>
      </c>
      <c r="H10" t="str">
        <f>VLOOKUP($B:$B,Products!$A:$D,3,FALSE)</f>
        <v>Home Decor</v>
      </c>
      <c r="I10">
        <f>VLOOKUP($B:$B,Products!$A:$D,4,FALSE)</f>
        <v>12242</v>
      </c>
      <c r="J10" s="4">
        <f>VLOOKUP($A:$A,Sales!$B:$H,6,FALSE)</f>
        <v>45576</v>
      </c>
      <c r="K10" s="9">
        <f>VLOOKUP($A:$A,Sales!$B:$H,4,FALSE)</f>
        <v>5</v>
      </c>
      <c r="L10" s="5">
        <f t="shared" si="0"/>
        <v>61210</v>
      </c>
    </row>
    <row r="11" spans="1:12" x14ac:dyDescent="0.3">
      <c r="A11">
        <v>1293</v>
      </c>
      <c r="B11">
        <v>2005</v>
      </c>
      <c r="C11">
        <v>3033</v>
      </c>
      <c r="D11" t="str">
        <f>VLOOKUP('Sales table'!$A:$A,Customers!$A:$H,2,FALSE)</f>
        <v>Debbie Rocha</v>
      </c>
      <c r="E11">
        <f>VLOOKUP('Sales table'!$A:$A,Customers!$A:$H,4,FALSE)</f>
        <v>33</v>
      </c>
      <c r="F11" t="str">
        <f>VLOOKUP('Sales table'!$A:$A,Customers!$A:$H,5,FALSE)</f>
        <v>Hyderabad</v>
      </c>
      <c r="G11" t="str">
        <f>VLOOKUP($B:$B,Products!$A:$D,2,FALSE)</f>
        <v>LED Lamp</v>
      </c>
      <c r="H11" t="str">
        <f>VLOOKUP($B:$B,Products!$A:$D,3,FALSE)</f>
        <v>Home Decor</v>
      </c>
      <c r="I11">
        <f>VLOOKUP($B:$B,Products!$A:$D,4,FALSE)</f>
        <v>3828</v>
      </c>
      <c r="J11" s="4">
        <f>VLOOKUP($A:$A,Sales!$B:$H,6,FALSE)</f>
        <v>45580</v>
      </c>
      <c r="K11" s="9">
        <f>VLOOKUP($A:$A,Sales!$B:$H,4,FALSE)</f>
        <v>4</v>
      </c>
      <c r="L11" s="5">
        <f t="shared" si="0"/>
        <v>15312</v>
      </c>
    </row>
    <row r="12" spans="1:12" x14ac:dyDescent="0.3">
      <c r="A12">
        <v>1062</v>
      </c>
      <c r="B12">
        <v>2015</v>
      </c>
      <c r="C12">
        <v>3027</v>
      </c>
      <c r="D12" t="str">
        <f>VLOOKUP('Sales table'!$A:$A,Customers!$A:$H,2,FALSE)</f>
        <v>William Murphy</v>
      </c>
      <c r="E12">
        <f>VLOOKUP('Sales table'!$A:$A,Customers!$A:$H,4,FALSE)</f>
        <v>34</v>
      </c>
      <c r="F12" t="str">
        <f>VLOOKUP('Sales table'!$A:$A,Customers!$A:$H,5,FALSE)</f>
        <v>Chennai</v>
      </c>
      <c r="G12" t="str">
        <f>VLOOKUP($B:$B,Products!$A:$D,2,FALSE)</f>
        <v>Candle Set</v>
      </c>
      <c r="H12" t="str">
        <f>VLOOKUP($B:$B,Products!$A:$D,3,FALSE)</f>
        <v>Home Decor</v>
      </c>
      <c r="I12">
        <f>VLOOKUP($B:$B,Products!$A:$D,4,FALSE)</f>
        <v>17604</v>
      </c>
      <c r="J12" s="4">
        <f>VLOOKUP($A:$A,Sales!$B:$H,6,FALSE)</f>
        <v>45590</v>
      </c>
      <c r="K12" s="9">
        <f>VLOOKUP($A:$A,Sales!$B:$H,4,FALSE)</f>
        <v>1</v>
      </c>
      <c r="L12" s="5">
        <f t="shared" si="0"/>
        <v>17604</v>
      </c>
    </row>
    <row r="13" spans="1:12" x14ac:dyDescent="0.3">
      <c r="A13">
        <v>1052</v>
      </c>
      <c r="B13">
        <v>2009</v>
      </c>
      <c r="C13">
        <v>3034</v>
      </c>
      <c r="D13" t="str">
        <f>VLOOKUP('Sales table'!$A:$A,Customers!$A:$H,2,FALSE)</f>
        <v>Kristin Ayers</v>
      </c>
      <c r="E13">
        <f>VLOOKUP('Sales table'!$A:$A,Customers!$A:$H,4,FALSE)</f>
        <v>38</v>
      </c>
      <c r="F13" t="str">
        <f>VLOOKUP('Sales table'!$A:$A,Customers!$A:$H,5,FALSE)</f>
        <v>Bangalore</v>
      </c>
      <c r="G13" t="str">
        <f>VLOOKUP($B:$B,Products!$A:$D,2,FALSE)</f>
        <v>Bluetooth Speaker</v>
      </c>
      <c r="H13" t="str">
        <f>VLOOKUP($B:$B,Products!$A:$D,3,FALSE)</f>
        <v>Electronics</v>
      </c>
      <c r="I13">
        <f>VLOOKUP($B:$B,Products!$A:$D,4,FALSE)</f>
        <v>11047</v>
      </c>
      <c r="J13" s="4">
        <f>VLOOKUP($A:$A,Sales!$B:$H,6,FALSE)</f>
        <v>45613</v>
      </c>
      <c r="K13" s="9">
        <f>VLOOKUP($A:$A,Sales!$B:$H,4,FALSE)</f>
        <v>1</v>
      </c>
      <c r="L13" s="5">
        <f t="shared" si="0"/>
        <v>11047</v>
      </c>
    </row>
    <row r="14" spans="1:12" x14ac:dyDescent="0.3">
      <c r="A14">
        <v>1012</v>
      </c>
      <c r="B14">
        <v>2025</v>
      </c>
      <c r="C14">
        <v>3005</v>
      </c>
      <c r="D14" t="str">
        <f>VLOOKUP('Sales table'!$A:$A,Customers!$A:$H,2,FALSE)</f>
        <v>John Dunlap</v>
      </c>
      <c r="E14">
        <f>VLOOKUP('Sales table'!$A:$A,Customers!$A:$H,4,FALSE)</f>
        <v>52</v>
      </c>
      <c r="F14" t="str">
        <f>VLOOKUP('Sales table'!$A:$A,Customers!$A:$H,5,FALSE)</f>
        <v>Delhi</v>
      </c>
      <c r="G14" t="str">
        <f>VLOOKUP($B:$B,Products!$A:$D,2,FALSE)</f>
        <v>Handbag</v>
      </c>
      <c r="H14" t="str">
        <f>VLOOKUP($B:$B,Products!$A:$D,3,FALSE)</f>
        <v>Accessories</v>
      </c>
      <c r="I14">
        <f>VLOOKUP($B:$B,Products!$A:$D,4,FALSE)</f>
        <v>17019</v>
      </c>
      <c r="J14" s="4">
        <f>VLOOKUP($A:$A,Sales!$B:$H,6,FALSE)</f>
        <v>45601</v>
      </c>
      <c r="K14" s="9">
        <f>VLOOKUP($A:$A,Sales!$B:$H,4,FALSE)</f>
        <v>2</v>
      </c>
      <c r="L14" s="5">
        <f t="shared" si="0"/>
        <v>34038</v>
      </c>
    </row>
    <row r="15" spans="1:12" x14ac:dyDescent="0.3">
      <c r="A15">
        <v>1091</v>
      </c>
      <c r="B15">
        <v>2018</v>
      </c>
      <c r="C15">
        <v>3010</v>
      </c>
      <c r="D15" t="str">
        <f>VLOOKUP('Sales table'!$A:$A,Customers!$A:$H,2,FALSE)</f>
        <v>Brandy Martinez</v>
      </c>
      <c r="E15">
        <f>VLOOKUP('Sales table'!$A:$A,Customers!$A:$H,4,FALSE)</f>
        <v>28</v>
      </c>
      <c r="F15" t="str">
        <f>VLOOKUP('Sales table'!$A:$A,Customers!$A:$H,5,FALSE)</f>
        <v>Kolkata</v>
      </c>
      <c r="G15" t="str">
        <f>VLOOKUP($B:$B,Products!$A:$D,2,FALSE)</f>
        <v>Dry Fruits Pack</v>
      </c>
      <c r="H15" t="str">
        <f>VLOOKUP($B:$B,Products!$A:$D,3,FALSE)</f>
        <v>Sweets &amp; Gifts</v>
      </c>
      <c r="I15">
        <f>VLOOKUP($B:$B,Products!$A:$D,4,FALSE)</f>
        <v>7243</v>
      </c>
      <c r="J15" s="4">
        <f>VLOOKUP($A:$A,Sales!$B:$H,6,FALSE)</f>
        <v>45592</v>
      </c>
      <c r="K15" s="9">
        <f>VLOOKUP($A:$A,Sales!$B:$H,4,FALSE)</f>
        <v>5</v>
      </c>
      <c r="L15" s="5">
        <f t="shared" si="0"/>
        <v>36215</v>
      </c>
    </row>
    <row r="16" spans="1:12" x14ac:dyDescent="0.3">
      <c r="A16">
        <v>1005</v>
      </c>
      <c r="B16">
        <v>2011</v>
      </c>
      <c r="C16">
        <v>3026</v>
      </c>
      <c r="D16" t="str">
        <f>VLOOKUP('Sales table'!$A:$A,Customers!$A:$H,2,FALSE)</f>
        <v>Nathan Porter</v>
      </c>
      <c r="E16">
        <f>VLOOKUP('Sales table'!$A:$A,Customers!$A:$H,4,FALSE)</f>
        <v>49</v>
      </c>
      <c r="F16" t="str">
        <f>VLOOKUP('Sales table'!$A:$A,Customers!$A:$H,5,FALSE)</f>
        <v>Mumbai</v>
      </c>
      <c r="G16" t="str">
        <f>VLOOKUP($B:$B,Products!$A:$D,2,FALSE)</f>
        <v>Festive Thali</v>
      </c>
      <c r="H16" t="str">
        <f>VLOOKUP($B:$B,Products!$A:$D,3,FALSE)</f>
        <v>Other</v>
      </c>
      <c r="I16">
        <f>VLOOKUP($B:$B,Products!$A:$D,4,FALSE)</f>
        <v>7481</v>
      </c>
      <c r="J16" s="4">
        <f>VLOOKUP($A:$A,Sales!$B:$H,6,FALSE)</f>
        <v>45604</v>
      </c>
      <c r="K16" s="9">
        <f>VLOOKUP($A:$A,Sales!$B:$H,4,FALSE)</f>
        <v>4</v>
      </c>
      <c r="L16" s="5">
        <f t="shared" si="0"/>
        <v>29924</v>
      </c>
    </row>
    <row r="17" spans="1:12" x14ac:dyDescent="0.3">
      <c r="A17">
        <v>1234</v>
      </c>
      <c r="B17">
        <v>2003</v>
      </c>
      <c r="C17">
        <v>3017</v>
      </c>
      <c r="D17" t="str">
        <f>VLOOKUP('Sales table'!$A:$A,Customers!$A:$H,2,FALSE)</f>
        <v>Kaitlyn Collier</v>
      </c>
      <c r="E17">
        <f>VLOOKUP('Sales table'!$A:$A,Customers!$A:$H,4,FALSE)</f>
        <v>55</v>
      </c>
      <c r="F17" t="str">
        <f>VLOOKUP('Sales table'!$A:$A,Customers!$A:$H,5,FALSE)</f>
        <v>Kolkata</v>
      </c>
      <c r="G17" t="str">
        <f>VLOOKUP($B:$B,Products!$A:$D,2,FALSE)</f>
        <v>Kurta</v>
      </c>
      <c r="H17" t="str">
        <f>VLOOKUP($B:$B,Products!$A:$D,3,FALSE)</f>
        <v>Clothing</v>
      </c>
      <c r="I17">
        <f>VLOOKUP($B:$B,Products!$A:$D,4,FALSE)</f>
        <v>13241</v>
      </c>
      <c r="J17" s="4">
        <f>VLOOKUP($A:$A,Sales!$B:$H,6,FALSE)</f>
        <v>45610</v>
      </c>
      <c r="K17" s="9">
        <f>VLOOKUP($A:$A,Sales!$B:$H,4,FALSE)</f>
        <v>4</v>
      </c>
      <c r="L17" s="5">
        <f t="shared" si="0"/>
        <v>52964</v>
      </c>
    </row>
    <row r="18" spans="1:12" x14ac:dyDescent="0.3">
      <c r="A18">
        <v>1089</v>
      </c>
      <c r="B18">
        <v>2025</v>
      </c>
      <c r="C18">
        <v>3028</v>
      </c>
      <c r="D18" t="str">
        <f>VLOOKUP('Sales table'!$A:$A,Customers!$A:$H,2,FALSE)</f>
        <v>Luis Smith</v>
      </c>
      <c r="E18">
        <f>VLOOKUP('Sales table'!$A:$A,Customers!$A:$H,4,FALSE)</f>
        <v>57</v>
      </c>
      <c r="F18" t="str">
        <f>VLOOKUP('Sales table'!$A:$A,Customers!$A:$H,5,FALSE)</f>
        <v>Mumbai</v>
      </c>
      <c r="G18" t="str">
        <f>VLOOKUP($B:$B,Products!$A:$D,2,FALSE)</f>
        <v>Handbag</v>
      </c>
      <c r="H18" t="str">
        <f>VLOOKUP($B:$B,Products!$A:$D,3,FALSE)</f>
        <v>Accessories</v>
      </c>
      <c r="I18">
        <f>VLOOKUP($B:$B,Products!$A:$D,4,FALSE)</f>
        <v>17019</v>
      </c>
      <c r="J18" s="4">
        <f>VLOOKUP($A:$A,Sales!$B:$H,6,FALSE)</f>
        <v>45597</v>
      </c>
      <c r="K18" s="9">
        <f>VLOOKUP($A:$A,Sales!$B:$H,4,FALSE)</f>
        <v>4</v>
      </c>
      <c r="L18" s="5">
        <f t="shared" si="0"/>
        <v>68076</v>
      </c>
    </row>
    <row r="19" spans="1:12" x14ac:dyDescent="0.3">
      <c r="A19">
        <v>1117</v>
      </c>
      <c r="B19">
        <v>2023</v>
      </c>
      <c r="C19">
        <v>3003</v>
      </c>
      <c r="D19" t="str">
        <f>VLOOKUP('Sales table'!$A:$A,Customers!$A:$H,2,FALSE)</f>
        <v>Matthew Nielsen</v>
      </c>
      <c r="E19">
        <f>VLOOKUP('Sales table'!$A:$A,Customers!$A:$H,4,FALSE)</f>
        <v>37</v>
      </c>
      <c r="F19" t="str">
        <f>VLOOKUP('Sales table'!$A:$A,Customers!$A:$H,5,FALSE)</f>
        <v>Hyderabad</v>
      </c>
      <c r="G19" t="str">
        <f>VLOOKUP($B:$B,Products!$A:$D,2,FALSE)</f>
        <v>Kids Wear</v>
      </c>
      <c r="H19" t="str">
        <f>VLOOKUP($B:$B,Products!$A:$D,3,FALSE)</f>
        <v>Clothing</v>
      </c>
      <c r="I19">
        <f>VLOOKUP($B:$B,Products!$A:$D,4,FALSE)</f>
        <v>4794</v>
      </c>
      <c r="J19" s="4">
        <f>VLOOKUP($A:$A,Sales!$B:$H,6,FALSE)</f>
        <v>45598</v>
      </c>
      <c r="K19" s="9">
        <f>VLOOKUP($A:$A,Sales!$B:$H,4,FALSE)</f>
        <v>2</v>
      </c>
      <c r="L19" s="5">
        <f t="shared" si="0"/>
        <v>9588</v>
      </c>
    </row>
    <row r="20" spans="1:12" x14ac:dyDescent="0.3">
      <c r="A20">
        <v>1103</v>
      </c>
      <c r="B20">
        <v>2023</v>
      </c>
      <c r="C20">
        <v>3020</v>
      </c>
      <c r="D20" t="str">
        <f>VLOOKUP('Sales table'!$A:$A,Customers!$A:$H,2,FALSE)</f>
        <v>Glenn Cook</v>
      </c>
      <c r="E20">
        <f>VLOOKUP('Sales table'!$A:$A,Customers!$A:$H,4,FALSE)</f>
        <v>58</v>
      </c>
      <c r="F20" t="str">
        <f>VLOOKUP('Sales table'!$A:$A,Customers!$A:$H,5,FALSE)</f>
        <v>Kolkata</v>
      </c>
      <c r="G20" t="str">
        <f>VLOOKUP($B:$B,Products!$A:$D,2,FALSE)</f>
        <v>Kids Wear</v>
      </c>
      <c r="H20" t="str">
        <f>VLOOKUP($B:$B,Products!$A:$D,3,FALSE)</f>
        <v>Clothing</v>
      </c>
      <c r="I20">
        <f>VLOOKUP($B:$B,Products!$A:$D,4,FALSE)</f>
        <v>4794</v>
      </c>
      <c r="J20" s="4">
        <f>VLOOKUP($A:$A,Sales!$B:$H,6,FALSE)</f>
        <v>45597</v>
      </c>
      <c r="K20" s="9">
        <f>VLOOKUP($A:$A,Sales!$B:$H,4,FALSE)</f>
        <v>2</v>
      </c>
      <c r="L20" s="5">
        <f t="shared" si="0"/>
        <v>9588</v>
      </c>
    </row>
    <row r="21" spans="1:12" x14ac:dyDescent="0.3">
      <c r="A21">
        <v>1276</v>
      </c>
      <c r="B21">
        <v>2002</v>
      </c>
      <c r="C21">
        <v>3012</v>
      </c>
      <c r="D21" t="str">
        <f>VLOOKUP('Sales table'!$A:$A,Customers!$A:$H,2,FALSE)</f>
        <v>Miss Tammy Cooper</v>
      </c>
      <c r="E21">
        <f>VLOOKUP('Sales table'!$A:$A,Customers!$A:$H,4,FALSE)</f>
        <v>42</v>
      </c>
      <c r="F21" t="str">
        <f>VLOOKUP('Sales table'!$A:$A,Customers!$A:$H,5,FALSE)</f>
        <v>Mumbai</v>
      </c>
      <c r="G21" t="str">
        <f>VLOOKUP($B:$B,Products!$A:$D,2,FALSE)</f>
        <v>Saree</v>
      </c>
      <c r="H21" t="str">
        <f>VLOOKUP($B:$B,Products!$A:$D,3,FALSE)</f>
        <v>Clothing</v>
      </c>
      <c r="I21">
        <f>VLOOKUP($B:$B,Products!$A:$D,4,FALSE)</f>
        <v>9534</v>
      </c>
      <c r="J21" s="4">
        <f>VLOOKUP($A:$A,Sales!$B:$H,6,FALSE)</f>
        <v>45611</v>
      </c>
      <c r="K21" s="9">
        <f>VLOOKUP($A:$A,Sales!$B:$H,4,FALSE)</f>
        <v>4</v>
      </c>
      <c r="L21" s="5">
        <f t="shared" si="0"/>
        <v>38136</v>
      </c>
    </row>
    <row r="22" spans="1:12" x14ac:dyDescent="0.3">
      <c r="A22">
        <v>1145</v>
      </c>
      <c r="B22">
        <v>2021</v>
      </c>
      <c r="C22">
        <v>3018</v>
      </c>
      <c r="D22" t="str">
        <f>VLOOKUP('Sales table'!$A:$A,Customers!$A:$H,2,FALSE)</f>
        <v>Valerie Love</v>
      </c>
      <c r="E22">
        <f>VLOOKUP('Sales table'!$A:$A,Customers!$A:$H,4,FALSE)</f>
        <v>51</v>
      </c>
      <c r="F22" t="str">
        <f>VLOOKUP('Sales table'!$A:$A,Customers!$A:$H,5,FALSE)</f>
        <v>Mumbai</v>
      </c>
      <c r="G22" t="str">
        <f>VLOOKUP($B:$B,Products!$A:$D,2,FALSE)</f>
        <v>Smartwatch</v>
      </c>
      <c r="H22" t="str">
        <f>VLOOKUP($B:$B,Products!$A:$D,3,FALSE)</f>
        <v>Electronics</v>
      </c>
      <c r="I22">
        <f>VLOOKUP($B:$B,Products!$A:$D,4,FALSE)</f>
        <v>17586</v>
      </c>
      <c r="J22" s="4">
        <f>VLOOKUP($A:$A,Sales!$B:$H,6,FALSE)</f>
        <v>45610</v>
      </c>
      <c r="K22" s="9">
        <f>VLOOKUP($A:$A,Sales!$B:$H,4,FALSE)</f>
        <v>3</v>
      </c>
      <c r="L22" s="5">
        <f t="shared" si="0"/>
        <v>52758</v>
      </c>
    </row>
    <row r="23" spans="1:12" x14ac:dyDescent="0.3">
      <c r="A23">
        <v>1105</v>
      </c>
      <c r="B23">
        <v>2025</v>
      </c>
      <c r="C23">
        <v>3009</v>
      </c>
      <c r="D23" t="str">
        <f>VLOOKUP('Sales table'!$A:$A,Customers!$A:$H,2,FALSE)</f>
        <v>Randall Odonnell</v>
      </c>
      <c r="E23">
        <f>VLOOKUP('Sales table'!$A:$A,Customers!$A:$H,4,FALSE)</f>
        <v>33</v>
      </c>
      <c r="F23" t="str">
        <f>VLOOKUP('Sales table'!$A:$A,Customers!$A:$H,5,FALSE)</f>
        <v>Mumbai</v>
      </c>
      <c r="G23" t="str">
        <f>VLOOKUP($B:$B,Products!$A:$D,2,FALSE)</f>
        <v>Handbag</v>
      </c>
      <c r="H23" t="str">
        <f>VLOOKUP($B:$B,Products!$A:$D,3,FALSE)</f>
        <v>Accessories</v>
      </c>
      <c r="I23">
        <f>VLOOKUP($B:$B,Products!$A:$D,4,FALSE)</f>
        <v>17019</v>
      </c>
      <c r="J23" s="4">
        <f>VLOOKUP($A:$A,Sales!$B:$H,6,FALSE)</f>
        <v>45600</v>
      </c>
      <c r="K23" s="9">
        <f>VLOOKUP($A:$A,Sales!$B:$H,4,FALSE)</f>
        <v>1</v>
      </c>
      <c r="L23" s="5">
        <f t="shared" si="0"/>
        <v>17019</v>
      </c>
    </row>
    <row r="24" spans="1:12" x14ac:dyDescent="0.3">
      <c r="A24">
        <v>1210</v>
      </c>
      <c r="B24">
        <v>2023</v>
      </c>
      <c r="C24">
        <v>3020</v>
      </c>
      <c r="D24" t="str">
        <f>VLOOKUP('Sales table'!$A:$A,Customers!$A:$H,2,FALSE)</f>
        <v>Laura Wong</v>
      </c>
      <c r="E24">
        <f>VLOOKUP('Sales table'!$A:$A,Customers!$A:$H,4,FALSE)</f>
        <v>55</v>
      </c>
      <c r="F24" t="str">
        <f>VLOOKUP('Sales table'!$A:$A,Customers!$A:$H,5,FALSE)</f>
        <v>Delhi</v>
      </c>
      <c r="G24" t="str">
        <f>VLOOKUP($B:$B,Products!$A:$D,2,FALSE)</f>
        <v>Kids Wear</v>
      </c>
      <c r="H24" t="str">
        <f>VLOOKUP($B:$B,Products!$A:$D,3,FALSE)</f>
        <v>Clothing</v>
      </c>
      <c r="I24">
        <f>VLOOKUP($B:$B,Products!$A:$D,4,FALSE)</f>
        <v>4794</v>
      </c>
      <c r="J24" s="4">
        <f>VLOOKUP($A:$A,Sales!$B:$H,6,FALSE)</f>
        <v>45600</v>
      </c>
      <c r="K24" s="9">
        <f>VLOOKUP($A:$A,Sales!$B:$H,4,FALSE)</f>
        <v>2</v>
      </c>
      <c r="L24" s="5">
        <f t="shared" si="0"/>
        <v>9588</v>
      </c>
    </row>
    <row r="25" spans="1:12" x14ac:dyDescent="0.3">
      <c r="A25">
        <v>1031</v>
      </c>
      <c r="B25">
        <v>2012</v>
      </c>
      <c r="C25">
        <v>3015</v>
      </c>
      <c r="D25" t="str">
        <f>VLOOKUP('Sales table'!$A:$A,Customers!$A:$H,2,FALSE)</f>
        <v>William Smith</v>
      </c>
      <c r="E25">
        <f>VLOOKUP('Sales table'!$A:$A,Customers!$A:$H,4,FALSE)</f>
        <v>46</v>
      </c>
      <c r="F25" t="str">
        <f>VLOOKUP('Sales table'!$A:$A,Customers!$A:$H,5,FALSE)</f>
        <v>Hyderabad</v>
      </c>
      <c r="G25" t="str">
        <f>VLOOKUP($B:$B,Products!$A:$D,2,FALSE)</f>
        <v>Wall Hanging</v>
      </c>
      <c r="H25" t="str">
        <f>VLOOKUP($B:$B,Products!$A:$D,3,FALSE)</f>
        <v>Home Decor</v>
      </c>
      <c r="I25">
        <f>VLOOKUP($B:$B,Products!$A:$D,4,FALSE)</f>
        <v>11867</v>
      </c>
      <c r="J25" s="4">
        <f>VLOOKUP($A:$A,Sales!$B:$H,6,FALSE)</f>
        <v>45612</v>
      </c>
      <c r="K25" s="9">
        <f>VLOOKUP($A:$A,Sales!$B:$H,4,FALSE)</f>
        <v>1</v>
      </c>
      <c r="L25" s="5">
        <f t="shared" si="0"/>
        <v>11867</v>
      </c>
    </row>
    <row r="26" spans="1:12" x14ac:dyDescent="0.3">
      <c r="A26">
        <v>1268</v>
      </c>
      <c r="B26">
        <v>2025</v>
      </c>
      <c r="C26">
        <v>3025</v>
      </c>
      <c r="D26" t="str">
        <f>VLOOKUP('Sales table'!$A:$A,Customers!$A:$H,2,FALSE)</f>
        <v>Anita Thompson</v>
      </c>
      <c r="E26">
        <f>VLOOKUP('Sales table'!$A:$A,Customers!$A:$H,4,FALSE)</f>
        <v>51</v>
      </c>
      <c r="F26" t="str">
        <f>VLOOKUP('Sales table'!$A:$A,Customers!$A:$H,5,FALSE)</f>
        <v>Delhi</v>
      </c>
      <c r="G26" t="str">
        <f>VLOOKUP($B:$B,Products!$A:$D,2,FALSE)</f>
        <v>Handbag</v>
      </c>
      <c r="H26" t="str">
        <f>VLOOKUP($B:$B,Products!$A:$D,3,FALSE)</f>
        <v>Accessories</v>
      </c>
      <c r="I26">
        <f>VLOOKUP($B:$B,Products!$A:$D,4,FALSE)</f>
        <v>17019</v>
      </c>
      <c r="J26" s="4">
        <f>VLOOKUP($A:$A,Sales!$B:$H,6,FALSE)</f>
        <v>45608</v>
      </c>
      <c r="K26" s="9">
        <f>VLOOKUP($A:$A,Sales!$B:$H,4,FALSE)</f>
        <v>2</v>
      </c>
      <c r="L26" s="5">
        <f t="shared" si="0"/>
        <v>34038</v>
      </c>
    </row>
    <row r="27" spans="1:12" x14ac:dyDescent="0.3">
      <c r="A27">
        <v>1029</v>
      </c>
      <c r="B27">
        <v>2006</v>
      </c>
      <c r="C27">
        <v>3017</v>
      </c>
      <c r="D27" t="str">
        <f>VLOOKUP('Sales table'!$A:$A,Customers!$A:$H,2,FALSE)</f>
        <v>Leonard Smith</v>
      </c>
      <c r="E27">
        <f>VLOOKUP('Sales table'!$A:$A,Customers!$A:$H,4,FALSE)</f>
        <v>49</v>
      </c>
      <c r="F27" t="str">
        <f>VLOOKUP('Sales table'!$A:$A,Customers!$A:$H,5,FALSE)</f>
        <v>Hyderabad</v>
      </c>
      <c r="G27" t="str">
        <f>VLOOKUP($B:$B,Products!$A:$D,2,FALSE)</f>
        <v>Crackers Pack</v>
      </c>
      <c r="H27" t="str">
        <f>VLOOKUP($B:$B,Products!$A:$D,3,FALSE)</f>
        <v>Crackers</v>
      </c>
      <c r="I27">
        <f>VLOOKUP($B:$B,Products!$A:$D,4,FALSE)</f>
        <v>12060</v>
      </c>
      <c r="J27" s="4">
        <f>VLOOKUP($A:$A,Sales!$B:$H,6,FALSE)</f>
        <v>45592</v>
      </c>
      <c r="K27" s="9">
        <f>VLOOKUP($A:$A,Sales!$B:$H,4,FALSE)</f>
        <v>2</v>
      </c>
      <c r="L27" s="5">
        <f t="shared" si="0"/>
        <v>24120</v>
      </c>
    </row>
    <row r="28" spans="1:12" x14ac:dyDescent="0.3">
      <c r="A28">
        <v>1110</v>
      </c>
      <c r="B28">
        <v>2013</v>
      </c>
      <c r="C28">
        <v>3012</v>
      </c>
      <c r="D28" t="str">
        <f>VLOOKUP('Sales table'!$A:$A,Customers!$A:$H,2,FALSE)</f>
        <v>Michelle Hardin</v>
      </c>
      <c r="E28">
        <f>VLOOKUP('Sales table'!$A:$A,Customers!$A:$H,4,FALSE)</f>
        <v>64</v>
      </c>
      <c r="F28" t="str">
        <f>VLOOKUP('Sales table'!$A:$A,Customers!$A:$H,5,FALSE)</f>
        <v>Delhi</v>
      </c>
      <c r="G28" t="str">
        <f>VLOOKUP($B:$B,Products!$A:$D,2,FALSE)</f>
        <v>Silver Coin</v>
      </c>
      <c r="H28" t="str">
        <f>VLOOKUP($B:$B,Products!$A:$D,3,FALSE)</f>
        <v>Precious Items</v>
      </c>
      <c r="I28">
        <f>VLOOKUP($B:$B,Products!$A:$D,4,FALSE)</f>
        <v>11845</v>
      </c>
      <c r="J28" s="4">
        <f>VLOOKUP($A:$A,Sales!$B:$H,6,FALSE)</f>
        <v>45583</v>
      </c>
      <c r="K28" s="9">
        <f>VLOOKUP($A:$A,Sales!$B:$H,4,FALSE)</f>
        <v>3</v>
      </c>
      <c r="L28" s="5">
        <f t="shared" si="0"/>
        <v>35535</v>
      </c>
    </row>
    <row r="29" spans="1:12" x14ac:dyDescent="0.3">
      <c r="A29">
        <v>1269</v>
      </c>
      <c r="B29">
        <v>2023</v>
      </c>
      <c r="C29">
        <v>3001</v>
      </c>
      <c r="D29" t="str">
        <f>VLOOKUP('Sales table'!$A:$A,Customers!$A:$H,2,FALSE)</f>
        <v>Anne Harris</v>
      </c>
      <c r="E29">
        <f>VLOOKUP('Sales table'!$A:$A,Customers!$A:$H,4,FALSE)</f>
        <v>33</v>
      </c>
      <c r="F29" t="str">
        <f>VLOOKUP('Sales table'!$A:$A,Customers!$A:$H,5,FALSE)</f>
        <v>Kolkata</v>
      </c>
      <c r="G29" t="str">
        <f>VLOOKUP($B:$B,Products!$A:$D,2,FALSE)</f>
        <v>Kids Wear</v>
      </c>
      <c r="H29" t="str">
        <f>VLOOKUP($B:$B,Products!$A:$D,3,FALSE)</f>
        <v>Clothing</v>
      </c>
      <c r="I29">
        <f>VLOOKUP($B:$B,Products!$A:$D,4,FALSE)</f>
        <v>4794</v>
      </c>
      <c r="J29" s="4">
        <f>VLOOKUP($A:$A,Sales!$B:$H,6,FALSE)</f>
        <v>45607</v>
      </c>
      <c r="K29" s="9">
        <f>VLOOKUP($A:$A,Sales!$B:$H,4,FALSE)</f>
        <v>5</v>
      </c>
      <c r="L29" s="5">
        <f t="shared" si="0"/>
        <v>23970</v>
      </c>
    </row>
    <row r="30" spans="1:12" x14ac:dyDescent="0.3">
      <c r="A30">
        <v>1226</v>
      </c>
      <c r="B30">
        <v>2003</v>
      </c>
      <c r="C30">
        <v>3019</v>
      </c>
      <c r="D30" t="str">
        <f>VLOOKUP('Sales table'!$A:$A,Customers!$A:$H,2,FALSE)</f>
        <v>Joshua Anderson</v>
      </c>
      <c r="E30">
        <f>VLOOKUP('Sales table'!$A:$A,Customers!$A:$H,4,FALSE)</f>
        <v>41</v>
      </c>
      <c r="F30" t="str">
        <f>VLOOKUP('Sales table'!$A:$A,Customers!$A:$H,5,FALSE)</f>
        <v>Kolkata</v>
      </c>
      <c r="G30" t="str">
        <f>VLOOKUP($B:$B,Products!$A:$D,2,FALSE)</f>
        <v>Kurta</v>
      </c>
      <c r="H30" t="str">
        <f>VLOOKUP($B:$B,Products!$A:$D,3,FALSE)</f>
        <v>Clothing</v>
      </c>
      <c r="I30">
        <f>VLOOKUP($B:$B,Products!$A:$D,4,FALSE)</f>
        <v>13241</v>
      </c>
      <c r="J30" s="4">
        <f>VLOOKUP($A:$A,Sales!$B:$H,6,FALSE)</f>
        <v>45581</v>
      </c>
      <c r="K30" s="9">
        <f>VLOOKUP($A:$A,Sales!$B:$H,4,FALSE)</f>
        <v>4</v>
      </c>
      <c r="L30" s="5">
        <f t="shared" si="0"/>
        <v>52964</v>
      </c>
    </row>
    <row r="31" spans="1:12" x14ac:dyDescent="0.3">
      <c r="A31">
        <v>1251</v>
      </c>
      <c r="B31">
        <v>2008</v>
      </c>
      <c r="C31">
        <v>3016</v>
      </c>
      <c r="D31" t="str">
        <f>VLOOKUP('Sales table'!$A:$A,Customers!$A:$H,2,FALSE)</f>
        <v>Zachary Browning</v>
      </c>
      <c r="E31">
        <f>VLOOKUP('Sales table'!$A:$A,Customers!$A:$H,4,FALSE)</f>
        <v>20</v>
      </c>
      <c r="F31" t="str">
        <f>VLOOKUP('Sales table'!$A:$A,Customers!$A:$H,5,FALSE)</f>
        <v>Hyderabad</v>
      </c>
      <c r="G31" t="str">
        <f>VLOOKUP($B:$B,Products!$A:$D,2,FALSE)</f>
        <v>Earthen Diyas</v>
      </c>
      <c r="H31" t="str">
        <f>VLOOKUP($B:$B,Products!$A:$D,3,FALSE)</f>
        <v>Home Decor</v>
      </c>
      <c r="I31">
        <f>VLOOKUP($B:$B,Products!$A:$D,4,FALSE)</f>
        <v>2136</v>
      </c>
      <c r="J31" s="4">
        <f>VLOOKUP($A:$A,Sales!$B:$H,6,FALSE)</f>
        <v>45612</v>
      </c>
      <c r="K31" s="9">
        <f>VLOOKUP($A:$A,Sales!$B:$H,4,FALSE)</f>
        <v>1</v>
      </c>
      <c r="L31" s="5">
        <f t="shared" si="0"/>
        <v>2136</v>
      </c>
    </row>
    <row r="32" spans="1:12" x14ac:dyDescent="0.3">
      <c r="A32">
        <v>1065</v>
      </c>
      <c r="B32">
        <v>2025</v>
      </c>
      <c r="C32">
        <v>3031</v>
      </c>
      <c r="D32" t="str">
        <f>VLOOKUP('Sales table'!$A:$A,Customers!$A:$H,2,FALSE)</f>
        <v>Carrie Hammond</v>
      </c>
      <c r="E32">
        <f>VLOOKUP('Sales table'!$A:$A,Customers!$A:$H,4,FALSE)</f>
        <v>35</v>
      </c>
      <c r="F32" t="str">
        <f>VLOOKUP('Sales table'!$A:$A,Customers!$A:$H,5,FALSE)</f>
        <v>Pune</v>
      </c>
      <c r="G32" t="str">
        <f>VLOOKUP($B:$B,Products!$A:$D,2,FALSE)</f>
        <v>Handbag</v>
      </c>
      <c r="H32" t="str">
        <f>VLOOKUP($B:$B,Products!$A:$D,3,FALSE)</f>
        <v>Accessories</v>
      </c>
      <c r="I32">
        <f>VLOOKUP($B:$B,Products!$A:$D,4,FALSE)</f>
        <v>17019</v>
      </c>
      <c r="J32" s="4">
        <f>VLOOKUP($A:$A,Sales!$B:$H,6,FALSE)</f>
        <v>45575</v>
      </c>
      <c r="K32" s="9">
        <f>VLOOKUP($A:$A,Sales!$B:$H,4,FALSE)</f>
        <v>1</v>
      </c>
      <c r="L32" s="5">
        <f t="shared" si="0"/>
        <v>17019</v>
      </c>
    </row>
    <row r="33" spans="1:12" x14ac:dyDescent="0.3">
      <c r="A33">
        <v>1033</v>
      </c>
      <c r="B33">
        <v>2015</v>
      </c>
      <c r="C33">
        <v>3007</v>
      </c>
      <c r="D33" t="str">
        <f>VLOOKUP('Sales table'!$A:$A,Customers!$A:$H,2,FALSE)</f>
        <v>Maria Holt</v>
      </c>
      <c r="E33">
        <f>VLOOKUP('Sales table'!$A:$A,Customers!$A:$H,4,FALSE)</f>
        <v>18</v>
      </c>
      <c r="F33" t="str">
        <f>VLOOKUP('Sales table'!$A:$A,Customers!$A:$H,5,FALSE)</f>
        <v>Bangalore</v>
      </c>
      <c r="G33" t="str">
        <f>VLOOKUP($B:$B,Products!$A:$D,2,FALSE)</f>
        <v>Candle Set</v>
      </c>
      <c r="H33" t="str">
        <f>VLOOKUP($B:$B,Products!$A:$D,3,FALSE)</f>
        <v>Home Decor</v>
      </c>
      <c r="I33">
        <f>VLOOKUP($B:$B,Products!$A:$D,4,FALSE)</f>
        <v>17604</v>
      </c>
      <c r="J33" s="4">
        <f>VLOOKUP($A:$A,Sales!$B:$H,6,FALSE)</f>
        <v>45614</v>
      </c>
      <c r="K33" s="9">
        <f>VLOOKUP($A:$A,Sales!$B:$H,4,FALSE)</f>
        <v>4</v>
      </c>
      <c r="L33" s="5">
        <f t="shared" si="0"/>
        <v>70416</v>
      </c>
    </row>
    <row r="34" spans="1:12" x14ac:dyDescent="0.3">
      <c r="A34">
        <v>1069</v>
      </c>
      <c r="B34">
        <v>2020</v>
      </c>
      <c r="C34">
        <v>3013</v>
      </c>
      <c r="D34" t="str">
        <f>VLOOKUP('Sales table'!$A:$A,Customers!$A:$H,2,FALSE)</f>
        <v>Calvin Wright</v>
      </c>
      <c r="E34">
        <f>VLOOKUP('Sales table'!$A:$A,Customers!$A:$H,4,FALSE)</f>
        <v>63</v>
      </c>
      <c r="F34" t="str">
        <f>VLOOKUP('Sales table'!$A:$A,Customers!$A:$H,5,FALSE)</f>
        <v>Chennai</v>
      </c>
      <c r="G34" t="str">
        <f>VLOOKUP($B:$B,Products!$A:$D,2,FALSE)</f>
        <v>Ethnic Jewelry</v>
      </c>
      <c r="H34" t="str">
        <f>VLOOKUP($B:$B,Products!$A:$D,3,FALSE)</f>
        <v>Precious Items</v>
      </c>
      <c r="I34">
        <f>VLOOKUP($B:$B,Products!$A:$D,4,FALSE)</f>
        <v>4495</v>
      </c>
      <c r="J34" s="4">
        <f>VLOOKUP($A:$A,Sales!$B:$H,6,FALSE)</f>
        <v>45614</v>
      </c>
      <c r="K34" s="9">
        <f>VLOOKUP($A:$A,Sales!$B:$H,4,FALSE)</f>
        <v>2</v>
      </c>
      <c r="L34" s="5">
        <f t="shared" si="0"/>
        <v>8990</v>
      </c>
    </row>
    <row r="35" spans="1:12" x14ac:dyDescent="0.3">
      <c r="A35">
        <v>1018</v>
      </c>
      <c r="B35">
        <v>2010</v>
      </c>
      <c r="C35">
        <v>3010</v>
      </c>
      <c r="D35" t="str">
        <f>VLOOKUP('Sales table'!$A:$A,Customers!$A:$H,2,FALSE)</f>
        <v>Mariah Kim</v>
      </c>
      <c r="E35">
        <f>VLOOKUP('Sales table'!$A:$A,Customers!$A:$H,4,FALSE)</f>
        <v>34</v>
      </c>
      <c r="F35" t="str">
        <f>VLOOKUP('Sales table'!$A:$A,Customers!$A:$H,5,FALSE)</f>
        <v>Mumbai</v>
      </c>
      <c r="G35" t="str">
        <f>VLOOKUP($B:$B,Products!$A:$D,2,FALSE)</f>
        <v>Chocolate Box</v>
      </c>
      <c r="H35" t="str">
        <f>VLOOKUP($B:$B,Products!$A:$D,3,FALSE)</f>
        <v>Sweets &amp; Gifts</v>
      </c>
      <c r="I35">
        <f>VLOOKUP($B:$B,Products!$A:$D,4,FALSE)</f>
        <v>17909</v>
      </c>
      <c r="J35" s="4">
        <f>VLOOKUP($A:$A,Sales!$B:$H,6,FALSE)</f>
        <v>45610</v>
      </c>
      <c r="K35" s="9">
        <f>VLOOKUP($A:$A,Sales!$B:$H,4,FALSE)</f>
        <v>1</v>
      </c>
      <c r="L35" s="5">
        <f t="shared" si="0"/>
        <v>17909</v>
      </c>
    </row>
    <row r="36" spans="1:12" x14ac:dyDescent="0.3">
      <c r="A36">
        <v>1084</v>
      </c>
      <c r="B36">
        <v>2003</v>
      </c>
      <c r="C36">
        <v>3001</v>
      </c>
      <c r="D36" t="str">
        <f>VLOOKUP('Sales table'!$A:$A,Customers!$A:$H,2,FALSE)</f>
        <v>Sharon Baker</v>
      </c>
      <c r="E36">
        <f>VLOOKUP('Sales table'!$A:$A,Customers!$A:$H,4,FALSE)</f>
        <v>48</v>
      </c>
      <c r="F36" t="str">
        <f>VLOOKUP('Sales table'!$A:$A,Customers!$A:$H,5,FALSE)</f>
        <v>Chennai</v>
      </c>
      <c r="G36" t="str">
        <f>VLOOKUP($B:$B,Products!$A:$D,2,FALSE)</f>
        <v>Kurta</v>
      </c>
      <c r="H36" t="str">
        <f>VLOOKUP($B:$B,Products!$A:$D,3,FALSE)</f>
        <v>Clothing</v>
      </c>
      <c r="I36">
        <f>VLOOKUP($B:$B,Products!$A:$D,4,FALSE)</f>
        <v>13241</v>
      </c>
      <c r="J36" s="4">
        <f>VLOOKUP($A:$A,Sales!$B:$H,6,FALSE)</f>
        <v>45613</v>
      </c>
      <c r="K36" s="9">
        <f>VLOOKUP($A:$A,Sales!$B:$H,4,FALSE)</f>
        <v>2</v>
      </c>
      <c r="L36" s="5">
        <f t="shared" si="0"/>
        <v>26482</v>
      </c>
    </row>
    <row r="37" spans="1:12" x14ac:dyDescent="0.3">
      <c r="A37">
        <v>1217</v>
      </c>
      <c r="B37">
        <v>2021</v>
      </c>
      <c r="C37">
        <v>3012</v>
      </c>
      <c r="D37" t="str">
        <f>VLOOKUP('Sales table'!$A:$A,Customers!$A:$H,2,FALSE)</f>
        <v>Lisa Kelly</v>
      </c>
      <c r="E37">
        <f>VLOOKUP('Sales table'!$A:$A,Customers!$A:$H,4,FALSE)</f>
        <v>23</v>
      </c>
      <c r="F37" t="str">
        <f>VLOOKUP('Sales table'!$A:$A,Customers!$A:$H,5,FALSE)</f>
        <v>Mumbai</v>
      </c>
      <c r="G37" t="str">
        <f>VLOOKUP($B:$B,Products!$A:$D,2,FALSE)</f>
        <v>Smartwatch</v>
      </c>
      <c r="H37" t="str">
        <f>VLOOKUP($B:$B,Products!$A:$D,3,FALSE)</f>
        <v>Electronics</v>
      </c>
      <c r="I37">
        <f>VLOOKUP($B:$B,Products!$A:$D,4,FALSE)</f>
        <v>17586</v>
      </c>
      <c r="J37" s="4">
        <f>VLOOKUP($A:$A,Sales!$B:$H,6,FALSE)</f>
        <v>45588</v>
      </c>
      <c r="K37" s="9">
        <f>VLOOKUP($A:$A,Sales!$B:$H,4,FALSE)</f>
        <v>1</v>
      </c>
      <c r="L37" s="5">
        <f t="shared" si="0"/>
        <v>17586</v>
      </c>
    </row>
    <row r="38" spans="1:12" x14ac:dyDescent="0.3">
      <c r="A38">
        <v>1009</v>
      </c>
      <c r="B38">
        <v>2017</v>
      </c>
      <c r="C38">
        <v>3024</v>
      </c>
      <c r="D38" t="str">
        <f>VLOOKUP('Sales table'!$A:$A,Customers!$A:$H,2,FALSE)</f>
        <v>Kayla Long</v>
      </c>
      <c r="E38">
        <f>VLOOKUP('Sales table'!$A:$A,Customers!$A:$H,4,FALSE)</f>
        <v>57</v>
      </c>
      <c r="F38" t="str">
        <f>VLOOKUP('Sales table'!$A:$A,Customers!$A:$H,5,FALSE)</f>
        <v>Pune</v>
      </c>
      <c r="G38" t="str">
        <f>VLOOKUP($B:$B,Products!$A:$D,2,FALSE)</f>
        <v>Handmade Pottery</v>
      </c>
      <c r="H38" t="str">
        <f>VLOOKUP($B:$B,Products!$A:$D,3,FALSE)</f>
        <v>Home Decor</v>
      </c>
      <c r="I38">
        <f>VLOOKUP($B:$B,Products!$A:$D,4,FALSE)</f>
        <v>8186</v>
      </c>
      <c r="J38" s="4">
        <f>VLOOKUP($A:$A,Sales!$B:$H,6,FALSE)</f>
        <v>45601</v>
      </c>
      <c r="K38" s="9">
        <f>VLOOKUP($A:$A,Sales!$B:$H,4,FALSE)</f>
        <v>2</v>
      </c>
      <c r="L38" s="5">
        <f t="shared" si="0"/>
        <v>16372</v>
      </c>
    </row>
    <row r="39" spans="1:12" x14ac:dyDescent="0.3">
      <c r="A39">
        <v>1036</v>
      </c>
      <c r="B39">
        <v>2024</v>
      </c>
      <c r="C39">
        <v>3009</v>
      </c>
      <c r="D39" t="str">
        <f>VLOOKUP('Sales table'!$A:$A,Customers!$A:$H,2,FALSE)</f>
        <v>Rebecca Harris</v>
      </c>
      <c r="E39">
        <f>VLOOKUP('Sales table'!$A:$A,Customers!$A:$H,4,FALSE)</f>
        <v>27</v>
      </c>
      <c r="F39" t="str">
        <f>VLOOKUP('Sales table'!$A:$A,Customers!$A:$H,5,FALSE)</f>
        <v>Kolkata</v>
      </c>
      <c r="G39" t="str">
        <f>VLOOKUP($B:$B,Products!$A:$D,2,FALSE)</f>
        <v>Perfume Gift Set</v>
      </c>
      <c r="H39" t="str">
        <f>VLOOKUP($B:$B,Products!$A:$D,3,FALSE)</f>
        <v>Accessories</v>
      </c>
      <c r="I39">
        <f>VLOOKUP($B:$B,Products!$A:$D,4,FALSE)</f>
        <v>16272</v>
      </c>
      <c r="J39" s="4">
        <f>VLOOKUP($A:$A,Sales!$B:$H,6,FALSE)</f>
        <v>45594</v>
      </c>
      <c r="K39" s="9">
        <f>VLOOKUP($A:$A,Sales!$B:$H,4,FALSE)</f>
        <v>2</v>
      </c>
      <c r="L39" s="5">
        <f t="shared" si="0"/>
        <v>32544</v>
      </c>
    </row>
    <row r="40" spans="1:12" x14ac:dyDescent="0.3">
      <c r="A40">
        <v>1249</v>
      </c>
      <c r="B40">
        <v>2003</v>
      </c>
      <c r="C40">
        <v>3004</v>
      </c>
      <c r="D40" t="str">
        <f>VLOOKUP('Sales table'!$A:$A,Customers!$A:$H,2,FALSE)</f>
        <v>Robert Keller</v>
      </c>
      <c r="E40">
        <f>VLOOKUP('Sales table'!$A:$A,Customers!$A:$H,4,FALSE)</f>
        <v>22</v>
      </c>
      <c r="F40" t="str">
        <f>VLOOKUP('Sales table'!$A:$A,Customers!$A:$H,5,FALSE)</f>
        <v>Mumbai</v>
      </c>
      <c r="G40" t="str">
        <f>VLOOKUP($B:$B,Products!$A:$D,2,FALSE)</f>
        <v>Kurta</v>
      </c>
      <c r="H40" t="str">
        <f>VLOOKUP($B:$B,Products!$A:$D,3,FALSE)</f>
        <v>Clothing</v>
      </c>
      <c r="I40">
        <f>VLOOKUP($B:$B,Products!$A:$D,4,FALSE)</f>
        <v>13241</v>
      </c>
      <c r="J40" s="4">
        <f>VLOOKUP($A:$A,Sales!$B:$H,6,FALSE)</f>
        <v>45575</v>
      </c>
      <c r="K40" s="9">
        <f>VLOOKUP($A:$A,Sales!$B:$H,4,FALSE)</f>
        <v>3</v>
      </c>
      <c r="L40" s="5">
        <f t="shared" si="0"/>
        <v>39723</v>
      </c>
    </row>
    <row r="41" spans="1:12" x14ac:dyDescent="0.3">
      <c r="A41">
        <v>1254</v>
      </c>
      <c r="B41">
        <v>2009</v>
      </c>
      <c r="C41">
        <v>3012</v>
      </c>
      <c r="D41" t="str">
        <f>VLOOKUP('Sales table'!$A:$A,Customers!$A:$H,2,FALSE)</f>
        <v>Matthew Smith</v>
      </c>
      <c r="E41">
        <f>VLOOKUP('Sales table'!$A:$A,Customers!$A:$H,4,FALSE)</f>
        <v>49</v>
      </c>
      <c r="F41" t="str">
        <f>VLOOKUP('Sales table'!$A:$A,Customers!$A:$H,5,FALSE)</f>
        <v>Pune</v>
      </c>
      <c r="G41" t="str">
        <f>VLOOKUP($B:$B,Products!$A:$D,2,FALSE)</f>
        <v>Bluetooth Speaker</v>
      </c>
      <c r="H41" t="str">
        <f>VLOOKUP($B:$B,Products!$A:$D,3,FALSE)</f>
        <v>Electronics</v>
      </c>
      <c r="I41">
        <f>VLOOKUP($B:$B,Products!$A:$D,4,FALSE)</f>
        <v>11047</v>
      </c>
      <c r="J41" s="4">
        <f>VLOOKUP($A:$A,Sales!$B:$H,6,FALSE)</f>
        <v>45608</v>
      </c>
      <c r="K41" s="9">
        <f>VLOOKUP($A:$A,Sales!$B:$H,4,FALSE)</f>
        <v>5</v>
      </c>
      <c r="L41" s="5">
        <f t="shared" si="0"/>
        <v>55235</v>
      </c>
    </row>
    <row r="42" spans="1:12" x14ac:dyDescent="0.3">
      <c r="A42">
        <v>1172</v>
      </c>
      <c r="B42">
        <v>2022</v>
      </c>
      <c r="C42">
        <v>3016</v>
      </c>
      <c r="D42" t="str">
        <f>VLOOKUP('Sales table'!$A:$A,Customers!$A:$H,2,FALSE)</f>
        <v>Angela Rivera</v>
      </c>
      <c r="E42">
        <f>VLOOKUP('Sales table'!$A:$A,Customers!$A:$H,4,FALSE)</f>
        <v>44</v>
      </c>
      <c r="F42" t="str">
        <f>VLOOKUP('Sales table'!$A:$A,Customers!$A:$H,5,FALSE)</f>
        <v>Mumbai</v>
      </c>
      <c r="G42" t="str">
        <f>VLOOKUP($B:$B,Products!$A:$D,2,FALSE)</f>
        <v>Home Decor Statue</v>
      </c>
      <c r="H42" t="str">
        <f>VLOOKUP($B:$B,Products!$A:$D,3,FALSE)</f>
        <v>Home Decor</v>
      </c>
      <c r="I42">
        <f>VLOOKUP($B:$B,Products!$A:$D,4,FALSE)</f>
        <v>17149</v>
      </c>
      <c r="J42" s="4">
        <f>VLOOKUP($A:$A,Sales!$B:$H,6,FALSE)</f>
        <v>45587</v>
      </c>
      <c r="K42" s="9">
        <f>VLOOKUP($A:$A,Sales!$B:$H,4,FALSE)</f>
        <v>4</v>
      </c>
      <c r="L42" s="5">
        <f t="shared" si="0"/>
        <v>68596</v>
      </c>
    </row>
    <row r="43" spans="1:12" x14ac:dyDescent="0.3">
      <c r="A43">
        <v>1010</v>
      </c>
      <c r="B43">
        <v>2005</v>
      </c>
      <c r="C43">
        <v>3015</v>
      </c>
      <c r="D43" t="str">
        <f>VLOOKUP('Sales table'!$A:$A,Customers!$A:$H,2,FALSE)</f>
        <v>Maria Lewis</v>
      </c>
      <c r="E43">
        <f>VLOOKUP('Sales table'!$A:$A,Customers!$A:$H,4,FALSE)</f>
        <v>27</v>
      </c>
      <c r="F43" t="str">
        <f>VLOOKUP('Sales table'!$A:$A,Customers!$A:$H,5,FALSE)</f>
        <v>Pune</v>
      </c>
      <c r="G43" t="str">
        <f>VLOOKUP($B:$B,Products!$A:$D,2,FALSE)</f>
        <v>LED Lamp</v>
      </c>
      <c r="H43" t="str">
        <f>VLOOKUP($B:$B,Products!$A:$D,3,FALSE)</f>
        <v>Home Decor</v>
      </c>
      <c r="I43">
        <f>VLOOKUP($B:$B,Products!$A:$D,4,FALSE)</f>
        <v>3828</v>
      </c>
      <c r="J43" s="4">
        <f>VLOOKUP($A:$A,Sales!$B:$H,6,FALSE)</f>
        <v>45582</v>
      </c>
      <c r="K43" s="9">
        <f>VLOOKUP($A:$A,Sales!$B:$H,4,FALSE)</f>
        <v>5</v>
      </c>
      <c r="L43" s="5">
        <f t="shared" si="0"/>
        <v>19140</v>
      </c>
    </row>
    <row r="44" spans="1:12" x14ac:dyDescent="0.3">
      <c r="A44">
        <v>1097</v>
      </c>
      <c r="B44">
        <v>2011</v>
      </c>
      <c r="C44">
        <v>3009</v>
      </c>
      <c r="D44" t="str">
        <f>VLOOKUP('Sales table'!$A:$A,Customers!$A:$H,2,FALSE)</f>
        <v>Michelle Lowe</v>
      </c>
      <c r="E44">
        <f>VLOOKUP('Sales table'!$A:$A,Customers!$A:$H,4,FALSE)</f>
        <v>35</v>
      </c>
      <c r="F44" t="str">
        <f>VLOOKUP('Sales table'!$A:$A,Customers!$A:$H,5,FALSE)</f>
        <v>Bangalore</v>
      </c>
      <c r="G44" t="str">
        <f>VLOOKUP($B:$B,Products!$A:$D,2,FALSE)</f>
        <v>Festive Thali</v>
      </c>
      <c r="H44" t="str">
        <f>VLOOKUP($B:$B,Products!$A:$D,3,FALSE)</f>
        <v>Other</v>
      </c>
      <c r="I44">
        <f>VLOOKUP($B:$B,Products!$A:$D,4,FALSE)</f>
        <v>7481</v>
      </c>
      <c r="J44" s="4">
        <f>VLOOKUP($A:$A,Sales!$B:$H,6,FALSE)</f>
        <v>45608</v>
      </c>
      <c r="K44" s="9">
        <f>VLOOKUP($A:$A,Sales!$B:$H,4,FALSE)</f>
        <v>4</v>
      </c>
      <c r="L44" s="5">
        <f t="shared" si="0"/>
        <v>29924</v>
      </c>
    </row>
    <row r="45" spans="1:12" x14ac:dyDescent="0.3">
      <c r="A45">
        <v>1088</v>
      </c>
      <c r="B45">
        <v>2016</v>
      </c>
      <c r="C45">
        <v>3013</v>
      </c>
      <c r="D45" t="str">
        <f>VLOOKUP('Sales table'!$A:$A,Customers!$A:$H,2,FALSE)</f>
        <v>Mark Mitchell</v>
      </c>
      <c r="E45">
        <f>VLOOKUP('Sales table'!$A:$A,Customers!$A:$H,4,FALSE)</f>
        <v>58</v>
      </c>
      <c r="F45" t="str">
        <f>VLOOKUP('Sales table'!$A:$A,Customers!$A:$H,5,FALSE)</f>
        <v>Delhi</v>
      </c>
      <c r="G45" t="str">
        <f>VLOOKUP($B:$B,Products!$A:$D,2,FALSE)</f>
        <v>Fairy Lights</v>
      </c>
      <c r="H45" t="str">
        <f>VLOOKUP($B:$B,Products!$A:$D,3,FALSE)</f>
        <v>Home Decor</v>
      </c>
      <c r="I45">
        <f>VLOOKUP($B:$B,Products!$A:$D,4,FALSE)</f>
        <v>12242</v>
      </c>
      <c r="J45" s="4">
        <f>VLOOKUP($A:$A,Sales!$B:$H,6,FALSE)</f>
        <v>45575</v>
      </c>
      <c r="K45" s="9">
        <f>VLOOKUP($A:$A,Sales!$B:$H,4,FALSE)</f>
        <v>3</v>
      </c>
      <c r="L45" s="5">
        <f t="shared" si="0"/>
        <v>36726</v>
      </c>
    </row>
    <row r="46" spans="1:12" x14ac:dyDescent="0.3">
      <c r="A46">
        <v>1294</v>
      </c>
      <c r="B46">
        <v>2003</v>
      </c>
      <c r="C46">
        <v>3003</v>
      </c>
      <c r="D46" t="str">
        <f>VLOOKUP('Sales table'!$A:$A,Customers!$A:$H,2,FALSE)</f>
        <v>Nathaniel Beck</v>
      </c>
      <c r="E46">
        <f>VLOOKUP('Sales table'!$A:$A,Customers!$A:$H,4,FALSE)</f>
        <v>36</v>
      </c>
      <c r="F46" t="str">
        <f>VLOOKUP('Sales table'!$A:$A,Customers!$A:$H,5,FALSE)</f>
        <v>Kolkata</v>
      </c>
      <c r="G46" t="str">
        <f>VLOOKUP($B:$B,Products!$A:$D,2,FALSE)</f>
        <v>Kurta</v>
      </c>
      <c r="H46" t="str">
        <f>VLOOKUP($B:$B,Products!$A:$D,3,FALSE)</f>
        <v>Clothing</v>
      </c>
      <c r="I46">
        <f>VLOOKUP($B:$B,Products!$A:$D,4,FALSE)</f>
        <v>13241</v>
      </c>
      <c r="J46" s="4">
        <f>VLOOKUP($A:$A,Sales!$B:$H,6,FALSE)</f>
        <v>45585</v>
      </c>
      <c r="K46" s="9">
        <f>VLOOKUP($A:$A,Sales!$B:$H,4,FALSE)</f>
        <v>5</v>
      </c>
      <c r="L46" s="5">
        <f t="shared" si="0"/>
        <v>66205</v>
      </c>
    </row>
    <row r="47" spans="1:12" x14ac:dyDescent="0.3">
      <c r="A47">
        <v>1200</v>
      </c>
      <c r="B47">
        <v>2025</v>
      </c>
      <c r="C47">
        <v>3013</v>
      </c>
      <c r="D47" t="str">
        <f>VLOOKUP('Sales table'!$A:$A,Customers!$A:$H,2,FALSE)</f>
        <v>Brian Campbell</v>
      </c>
      <c r="E47">
        <f>VLOOKUP('Sales table'!$A:$A,Customers!$A:$H,4,FALSE)</f>
        <v>28</v>
      </c>
      <c r="F47" t="str">
        <f>VLOOKUP('Sales table'!$A:$A,Customers!$A:$H,5,FALSE)</f>
        <v>Chennai</v>
      </c>
      <c r="G47" t="str">
        <f>VLOOKUP($B:$B,Products!$A:$D,2,FALSE)</f>
        <v>Handbag</v>
      </c>
      <c r="H47" t="str">
        <f>VLOOKUP($B:$B,Products!$A:$D,3,FALSE)</f>
        <v>Accessories</v>
      </c>
      <c r="I47">
        <f>VLOOKUP($B:$B,Products!$A:$D,4,FALSE)</f>
        <v>17019</v>
      </c>
      <c r="J47" s="4">
        <f>VLOOKUP($A:$A,Sales!$B:$H,6,FALSE)</f>
        <v>45581</v>
      </c>
      <c r="K47" s="9">
        <f>VLOOKUP($A:$A,Sales!$B:$H,4,FALSE)</f>
        <v>1</v>
      </c>
      <c r="L47" s="5">
        <f t="shared" si="0"/>
        <v>17019</v>
      </c>
    </row>
    <row r="48" spans="1:12" x14ac:dyDescent="0.3">
      <c r="A48">
        <v>1247</v>
      </c>
      <c r="B48">
        <v>2013</v>
      </c>
      <c r="C48">
        <v>3014</v>
      </c>
      <c r="D48" t="str">
        <f>VLOOKUP('Sales table'!$A:$A,Customers!$A:$H,2,FALSE)</f>
        <v>Tyler Melendez Dvm</v>
      </c>
      <c r="E48">
        <f>VLOOKUP('Sales table'!$A:$A,Customers!$A:$H,4,FALSE)</f>
        <v>61</v>
      </c>
      <c r="F48" t="str">
        <f>VLOOKUP('Sales table'!$A:$A,Customers!$A:$H,5,FALSE)</f>
        <v>Delhi</v>
      </c>
      <c r="G48" t="str">
        <f>VLOOKUP($B:$B,Products!$A:$D,2,FALSE)</f>
        <v>Silver Coin</v>
      </c>
      <c r="H48" t="str">
        <f>VLOOKUP($B:$B,Products!$A:$D,3,FALSE)</f>
        <v>Precious Items</v>
      </c>
      <c r="I48">
        <f>VLOOKUP($B:$B,Products!$A:$D,4,FALSE)</f>
        <v>11845</v>
      </c>
      <c r="J48" s="4">
        <f>VLOOKUP($A:$A,Sales!$B:$H,6,FALSE)</f>
        <v>45604</v>
      </c>
      <c r="K48" s="9">
        <f>VLOOKUP($A:$A,Sales!$B:$H,4,FALSE)</f>
        <v>5</v>
      </c>
      <c r="L48" s="5">
        <f t="shared" si="0"/>
        <v>59225</v>
      </c>
    </row>
    <row r="49" spans="1:12" x14ac:dyDescent="0.3">
      <c r="A49">
        <v>1298</v>
      </c>
      <c r="B49">
        <v>2003</v>
      </c>
      <c r="C49">
        <v>3004</v>
      </c>
      <c r="D49" t="str">
        <f>VLOOKUP('Sales table'!$A:$A,Customers!$A:$H,2,FALSE)</f>
        <v>Kim Smith</v>
      </c>
      <c r="E49">
        <f>VLOOKUP('Sales table'!$A:$A,Customers!$A:$H,4,FALSE)</f>
        <v>50</v>
      </c>
      <c r="F49" t="str">
        <f>VLOOKUP('Sales table'!$A:$A,Customers!$A:$H,5,FALSE)</f>
        <v>Chennai</v>
      </c>
      <c r="G49" t="str">
        <f>VLOOKUP($B:$B,Products!$A:$D,2,FALSE)</f>
        <v>Kurta</v>
      </c>
      <c r="H49" t="str">
        <f>VLOOKUP($B:$B,Products!$A:$D,3,FALSE)</f>
        <v>Clothing</v>
      </c>
      <c r="I49">
        <f>VLOOKUP($B:$B,Products!$A:$D,4,FALSE)</f>
        <v>13241</v>
      </c>
      <c r="J49" s="4">
        <f>VLOOKUP($A:$A,Sales!$B:$H,6,FALSE)</f>
        <v>45596</v>
      </c>
      <c r="K49" s="9">
        <f>VLOOKUP($A:$A,Sales!$B:$H,4,FALSE)</f>
        <v>3</v>
      </c>
      <c r="L49" s="5">
        <f t="shared" si="0"/>
        <v>39723</v>
      </c>
    </row>
    <row r="50" spans="1:12" x14ac:dyDescent="0.3">
      <c r="A50">
        <v>1286</v>
      </c>
      <c r="B50">
        <v>2009</v>
      </c>
      <c r="C50">
        <v>3012</v>
      </c>
      <c r="D50" t="str">
        <f>VLOOKUP('Sales table'!$A:$A,Customers!$A:$H,2,FALSE)</f>
        <v>Anthony Taylor</v>
      </c>
      <c r="E50">
        <f>VLOOKUP('Sales table'!$A:$A,Customers!$A:$H,4,FALSE)</f>
        <v>33</v>
      </c>
      <c r="F50" t="str">
        <f>VLOOKUP('Sales table'!$A:$A,Customers!$A:$H,5,FALSE)</f>
        <v>Mumbai</v>
      </c>
      <c r="G50" t="str">
        <f>VLOOKUP($B:$B,Products!$A:$D,2,FALSE)</f>
        <v>Bluetooth Speaker</v>
      </c>
      <c r="H50" t="str">
        <f>VLOOKUP($B:$B,Products!$A:$D,3,FALSE)</f>
        <v>Electronics</v>
      </c>
      <c r="I50">
        <f>VLOOKUP($B:$B,Products!$A:$D,4,FALSE)</f>
        <v>11047</v>
      </c>
      <c r="J50" s="4">
        <f>VLOOKUP($A:$A,Sales!$B:$H,6,FALSE)</f>
        <v>45595</v>
      </c>
      <c r="K50" s="9">
        <f>VLOOKUP($A:$A,Sales!$B:$H,4,FALSE)</f>
        <v>1</v>
      </c>
      <c r="L50" s="5">
        <f t="shared" si="0"/>
        <v>11047</v>
      </c>
    </row>
    <row r="51" spans="1:12" x14ac:dyDescent="0.3">
      <c r="A51">
        <v>1119</v>
      </c>
      <c r="B51">
        <v>2004</v>
      </c>
      <c r="C51">
        <v>3005</v>
      </c>
      <c r="D51" t="str">
        <f>VLOOKUP('Sales table'!$A:$A,Customers!$A:$H,2,FALSE)</f>
        <v>Javier Calderon</v>
      </c>
      <c r="E51">
        <f>VLOOKUP('Sales table'!$A:$A,Customers!$A:$H,4,FALSE)</f>
        <v>45</v>
      </c>
      <c r="F51" t="str">
        <f>VLOOKUP('Sales table'!$A:$A,Customers!$A:$H,5,FALSE)</f>
        <v>Delhi</v>
      </c>
      <c r="G51" t="str">
        <f>VLOOKUP($B:$B,Products!$A:$D,2,FALSE)</f>
        <v>Smartphone</v>
      </c>
      <c r="H51" t="str">
        <f>VLOOKUP($B:$B,Products!$A:$D,3,FALSE)</f>
        <v>Electronics</v>
      </c>
      <c r="I51">
        <f>VLOOKUP($B:$B,Products!$A:$D,4,FALSE)</f>
        <v>4952</v>
      </c>
      <c r="J51" s="4">
        <f>VLOOKUP($A:$A,Sales!$B:$H,6,FALSE)</f>
        <v>45615</v>
      </c>
      <c r="K51" s="9">
        <f>VLOOKUP($A:$A,Sales!$B:$H,4,FALSE)</f>
        <v>4</v>
      </c>
      <c r="L51" s="5">
        <f t="shared" si="0"/>
        <v>19808</v>
      </c>
    </row>
    <row r="52" spans="1:12" x14ac:dyDescent="0.3">
      <c r="A52">
        <v>1271</v>
      </c>
      <c r="B52">
        <v>2019</v>
      </c>
      <c r="C52">
        <v>3001</v>
      </c>
      <c r="D52" t="str">
        <f>VLOOKUP('Sales table'!$A:$A,Customers!$A:$H,2,FALSE)</f>
        <v>Alicia Bailey</v>
      </c>
      <c r="E52">
        <f>VLOOKUP('Sales table'!$A:$A,Customers!$A:$H,4,FALSE)</f>
        <v>41</v>
      </c>
      <c r="F52" t="str">
        <f>VLOOKUP('Sales table'!$A:$A,Customers!$A:$H,5,FALSE)</f>
        <v>Bangalore</v>
      </c>
      <c r="G52" t="str">
        <f>VLOOKUP($B:$B,Products!$A:$D,2,FALSE)</f>
        <v>Designer Kurti</v>
      </c>
      <c r="H52" t="str">
        <f>VLOOKUP($B:$B,Products!$A:$D,3,FALSE)</f>
        <v>Clothing</v>
      </c>
      <c r="I52">
        <f>VLOOKUP($B:$B,Products!$A:$D,4,FALSE)</f>
        <v>13620</v>
      </c>
      <c r="J52" s="4">
        <f>VLOOKUP($A:$A,Sales!$B:$H,6,FALSE)</f>
        <v>45605</v>
      </c>
      <c r="K52" s="9">
        <f>VLOOKUP($A:$A,Sales!$B:$H,4,FALSE)</f>
        <v>2</v>
      </c>
      <c r="L52" s="5">
        <f t="shared" si="0"/>
        <v>27240</v>
      </c>
    </row>
    <row r="53" spans="1:12" x14ac:dyDescent="0.3">
      <c r="A53">
        <v>1092</v>
      </c>
      <c r="B53">
        <v>2002</v>
      </c>
      <c r="C53">
        <v>3030</v>
      </c>
      <c r="D53" t="str">
        <f>VLOOKUP('Sales table'!$A:$A,Customers!$A:$H,2,FALSE)</f>
        <v>Joseph Thomas</v>
      </c>
      <c r="E53">
        <f>VLOOKUP('Sales table'!$A:$A,Customers!$A:$H,4,FALSE)</f>
        <v>23</v>
      </c>
      <c r="F53" t="str">
        <f>VLOOKUP('Sales table'!$A:$A,Customers!$A:$H,5,FALSE)</f>
        <v>Hyderabad</v>
      </c>
      <c r="G53" t="str">
        <f>VLOOKUP($B:$B,Products!$A:$D,2,FALSE)</f>
        <v>Saree</v>
      </c>
      <c r="H53" t="str">
        <f>VLOOKUP($B:$B,Products!$A:$D,3,FALSE)</f>
        <v>Clothing</v>
      </c>
      <c r="I53">
        <f>VLOOKUP($B:$B,Products!$A:$D,4,FALSE)</f>
        <v>9534</v>
      </c>
      <c r="J53" s="4">
        <f>VLOOKUP($A:$A,Sales!$B:$H,6,FALSE)</f>
        <v>45611</v>
      </c>
      <c r="K53" s="9">
        <f>VLOOKUP($A:$A,Sales!$B:$H,4,FALSE)</f>
        <v>5</v>
      </c>
      <c r="L53" s="5">
        <f t="shared" si="0"/>
        <v>47670</v>
      </c>
    </row>
    <row r="54" spans="1:12" x14ac:dyDescent="0.3">
      <c r="A54">
        <v>1146</v>
      </c>
      <c r="B54">
        <v>2017</v>
      </c>
      <c r="C54">
        <v>3017</v>
      </c>
      <c r="D54" t="str">
        <f>VLOOKUP('Sales table'!$A:$A,Customers!$A:$H,2,FALSE)</f>
        <v>Angela Martin</v>
      </c>
      <c r="E54">
        <f>VLOOKUP('Sales table'!$A:$A,Customers!$A:$H,4,FALSE)</f>
        <v>61</v>
      </c>
      <c r="F54" t="str">
        <f>VLOOKUP('Sales table'!$A:$A,Customers!$A:$H,5,FALSE)</f>
        <v>Bangalore</v>
      </c>
      <c r="G54" t="str">
        <f>VLOOKUP($B:$B,Products!$A:$D,2,FALSE)</f>
        <v>Handmade Pottery</v>
      </c>
      <c r="H54" t="str">
        <f>VLOOKUP($B:$B,Products!$A:$D,3,FALSE)</f>
        <v>Home Decor</v>
      </c>
      <c r="I54">
        <f>VLOOKUP($B:$B,Products!$A:$D,4,FALSE)</f>
        <v>8186</v>
      </c>
      <c r="J54" s="4">
        <f>VLOOKUP($A:$A,Sales!$B:$H,6,FALSE)</f>
        <v>45608</v>
      </c>
      <c r="K54" s="9">
        <f>VLOOKUP($A:$A,Sales!$B:$H,4,FALSE)</f>
        <v>1</v>
      </c>
      <c r="L54" s="5">
        <f t="shared" si="0"/>
        <v>8186</v>
      </c>
    </row>
    <row r="55" spans="1:12" x14ac:dyDescent="0.3">
      <c r="A55">
        <v>1204</v>
      </c>
      <c r="B55">
        <v>2022</v>
      </c>
      <c r="C55">
        <v>3017</v>
      </c>
      <c r="D55" t="str">
        <f>VLOOKUP('Sales table'!$A:$A,Customers!$A:$H,2,FALSE)</f>
        <v>William Freeman</v>
      </c>
      <c r="E55">
        <f>VLOOKUP('Sales table'!$A:$A,Customers!$A:$H,4,FALSE)</f>
        <v>49</v>
      </c>
      <c r="F55" t="str">
        <f>VLOOKUP('Sales table'!$A:$A,Customers!$A:$H,5,FALSE)</f>
        <v>Mumbai</v>
      </c>
      <c r="G55" t="str">
        <f>VLOOKUP($B:$B,Products!$A:$D,2,FALSE)</f>
        <v>Home Decor Statue</v>
      </c>
      <c r="H55" t="str">
        <f>VLOOKUP($B:$B,Products!$A:$D,3,FALSE)</f>
        <v>Home Decor</v>
      </c>
      <c r="I55">
        <f>VLOOKUP($B:$B,Products!$A:$D,4,FALSE)</f>
        <v>17149</v>
      </c>
      <c r="J55" s="4">
        <f>VLOOKUP($A:$A,Sales!$B:$H,6,FALSE)</f>
        <v>45582</v>
      </c>
      <c r="K55" s="9">
        <f>VLOOKUP($A:$A,Sales!$B:$H,4,FALSE)</f>
        <v>3</v>
      </c>
      <c r="L55" s="5">
        <f t="shared" si="0"/>
        <v>51447</v>
      </c>
    </row>
    <row r="56" spans="1:12" x14ac:dyDescent="0.3">
      <c r="A56">
        <v>1181</v>
      </c>
      <c r="B56">
        <v>2002</v>
      </c>
      <c r="C56">
        <v>3011</v>
      </c>
      <c r="D56" t="str">
        <f>VLOOKUP('Sales table'!$A:$A,Customers!$A:$H,2,FALSE)</f>
        <v>Joseph Browning</v>
      </c>
      <c r="E56">
        <f>VLOOKUP('Sales table'!$A:$A,Customers!$A:$H,4,FALSE)</f>
        <v>59</v>
      </c>
      <c r="F56" t="str">
        <f>VLOOKUP('Sales table'!$A:$A,Customers!$A:$H,5,FALSE)</f>
        <v>Hyderabad</v>
      </c>
      <c r="G56" t="str">
        <f>VLOOKUP($B:$B,Products!$A:$D,2,FALSE)</f>
        <v>Saree</v>
      </c>
      <c r="H56" t="str">
        <f>VLOOKUP($B:$B,Products!$A:$D,3,FALSE)</f>
        <v>Clothing</v>
      </c>
      <c r="I56">
        <f>VLOOKUP($B:$B,Products!$A:$D,4,FALSE)</f>
        <v>9534</v>
      </c>
      <c r="J56" s="4">
        <f>VLOOKUP($A:$A,Sales!$B:$H,6,FALSE)</f>
        <v>45613</v>
      </c>
      <c r="K56" s="9">
        <f>VLOOKUP($A:$A,Sales!$B:$H,4,FALSE)</f>
        <v>2</v>
      </c>
      <c r="L56" s="5">
        <f t="shared" si="0"/>
        <v>19068</v>
      </c>
    </row>
    <row r="57" spans="1:12" x14ac:dyDescent="0.3">
      <c r="A57">
        <v>1247</v>
      </c>
      <c r="B57">
        <v>2017</v>
      </c>
      <c r="C57">
        <v>3026</v>
      </c>
      <c r="D57" t="str">
        <f>VLOOKUP('Sales table'!$A:$A,Customers!$A:$H,2,FALSE)</f>
        <v>Tyler Melendez Dvm</v>
      </c>
      <c r="E57">
        <f>VLOOKUP('Sales table'!$A:$A,Customers!$A:$H,4,FALSE)</f>
        <v>61</v>
      </c>
      <c r="F57" t="str">
        <f>VLOOKUP('Sales table'!$A:$A,Customers!$A:$H,5,FALSE)</f>
        <v>Delhi</v>
      </c>
      <c r="G57" t="str">
        <f>VLOOKUP($B:$B,Products!$A:$D,2,FALSE)</f>
        <v>Handmade Pottery</v>
      </c>
      <c r="H57" t="str">
        <f>VLOOKUP($B:$B,Products!$A:$D,3,FALSE)</f>
        <v>Home Decor</v>
      </c>
      <c r="I57">
        <f>VLOOKUP($B:$B,Products!$A:$D,4,FALSE)</f>
        <v>8186</v>
      </c>
      <c r="J57" s="4">
        <f>VLOOKUP($A:$A,Sales!$B:$H,6,FALSE)</f>
        <v>45604</v>
      </c>
      <c r="K57" s="9">
        <f>VLOOKUP($A:$A,Sales!$B:$H,4,FALSE)</f>
        <v>5</v>
      </c>
      <c r="L57" s="5">
        <f t="shared" si="0"/>
        <v>40930</v>
      </c>
    </row>
    <row r="58" spans="1:12" x14ac:dyDescent="0.3">
      <c r="A58">
        <v>1043</v>
      </c>
      <c r="B58">
        <v>2005</v>
      </c>
      <c r="C58">
        <v>3014</v>
      </c>
      <c r="D58" t="str">
        <f>VLOOKUP('Sales table'!$A:$A,Customers!$A:$H,2,FALSE)</f>
        <v>Brenda Foster</v>
      </c>
      <c r="E58">
        <f>VLOOKUP('Sales table'!$A:$A,Customers!$A:$H,4,FALSE)</f>
        <v>49</v>
      </c>
      <c r="F58" t="str">
        <f>VLOOKUP('Sales table'!$A:$A,Customers!$A:$H,5,FALSE)</f>
        <v>Bangalore</v>
      </c>
      <c r="G58" t="str">
        <f>VLOOKUP($B:$B,Products!$A:$D,2,FALSE)</f>
        <v>LED Lamp</v>
      </c>
      <c r="H58" t="str">
        <f>VLOOKUP($B:$B,Products!$A:$D,3,FALSE)</f>
        <v>Home Decor</v>
      </c>
      <c r="I58">
        <f>VLOOKUP($B:$B,Products!$A:$D,4,FALSE)</f>
        <v>3828</v>
      </c>
      <c r="J58" s="4">
        <f>VLOOKUP($A:$A,Sales!$B:$H,6,FALSE)</f>
        <v>45601</v>
      </c>
      <c r="K58" s="9">
        <f>VLOOKUP($A:$A,Sales!$B:$H,4,FALSE)</f>
        <v>2</v>
      </c>
      <c r="L58" s="5">
        <f t="shared" si="0"/>
        <v>7656</v>
      </c>
    </row>
    <row r="59" spans="1:12" x14ac:dyDescent="0.3">
      <c r="A59">
        <v>1017</v>
      </c>
      <c r="B59">
        <v>2014</v>
      </c>
      <c r="C59">
        <v>3017</v>
      </c>
      <c r="D59" t="str">
        <f>VLOOKUP('Sales table'!$A:$A,Customers!$A:$H,2,FALSE)</f>
        <v>Sandra Hamilton</v>
      </c>
      <c r="E59">
        <f>VLOOKUP('Sales table'!$A:$A,Customers!$A:$H,4,FALSE)</f>
        <v>39</v>
      </c>
      <c r="F59" t="str">
        <f>VLOOKUP('Sales table'!$A:$A,Customers!$A:$H,5,FALSE)</f>
        <v>Kolkata</v>
      </c>
      <c r="G59" t="str">
        <f>VLOOKUP($B:$B,Products!$A:$D,2,FALSE)</f>
        <v>Gold Coin</v>
      </c>
      <c r="H59" t="str">
        <f>VLOOKUP($B:$B,Products!$A:$D,3,FALSE)</f>
        <v>Precious Items</v>
      </c>
      <c r="I59">
        <f>VLOOKUP($B:$B,Products!$A:$D,4,FALSE)</f>
        <v>13823</v>
      </c>
      <c r="J59" s="4">
        <f>VLOOKUP($A:$A,Sales!$B:$H,6,FALSE)</f>
        <v>45603</v>
      </c>
      <c r="K59" s="9">
        <f>VLOOKUP($A:$A,Sales!$B:$H,4,FALSE)</f>
        <v>2</v>
      </c>
      <c r="L59" s="5">
        <f t="shared" si="0"/>
        <v>27646</v>
      </c>
    </row>
    <row r="60" spans="1:12" x14ac:dyDescent="0.3">
      <c r="A60">
        <v>1053</v>
      </c>
      <c r="B60">
        <v>2017</v>
      </c>
      <c r="C60">
        <v>3012</v>
      </c>
      <c r="D60" t="str">
        <f>VLOOKUP('Sales table'!$A:$A,Customers!$A:$H,2,FALSE)</f>
        <v>Brandon Martin</v>
      </c>
      <c r="E60">
        <f>VLOOKUP('Sales table'!$A:$A,Customers!$A:$H,4,FALSE)</f>
        <v>52</v>
      </c>
      <c r="F60" t="str">
        <f>VLOOKUP('Sales table'!$A:$A,Customers!$A:$H,5,FALSE)</f>
        <v>Kolkata</v>
      </c>
      <c r="G60" t="str">
        <f>VLOOKUP($B:$B,Products!$A:$D,2,FALSE)</f>
        <v>Handmade Pottery</v>
      </c>
      <c r="H60" t="str">
        <f>VLOOKUP($B:$B,Products!$A:$D,3,FALSE)</f>
        <v>Home Decor</v>
      </c>
      <c r="I60">
        <f>VLOOKUP($B:$B,Products!$A:$D,4,FALSE)</f>
        <v>8186</v>
      </c>
      <c r="J60" s="4">
        <f>VLOOKUP($A:$A,Sales!$B:$H,6,FALSE)</f>
        <v>45604</v>
      </c>
      <c r="K60" s="9">
        <f>VLOOKUP($A:$A,Sales!$B:$H,4,FALSE)</f>
        <v>3</v>
      </c>
      <c r="L60" s="5">
        <f t="shared" si="0"/>
        <v>24558</v>
      </c>
    </row>
    <row r="61" spans="1:12" x14ac:dyDescent="0.3">
      <c r="A61">
        <v>1087</v>
      </c>
      <c r="B61">
        <v>2003</v>
      </c>
      <c r="C61">
        <v>3006</v>
      </c>
      <c r="D61" t="str">
        <f>VLOOKUP('Sales table'!$A:$A,Customers!$A:$H,2,FALSE)</f>
        <v>Jared Romero</v>
      </c>
      <c r="E61">
        <f>VLOOKUP('Sales table'!$A:$A,Customers!$A:$H,4,FALSE)</f>
        <v>26</v>
      </c>
      <c r="F61" t="str">
        <f>VLOOKUP('Sales table'!$A:$A,Customers!$A:$H,5,FALSE)</f>
        <v>Hyderabad</v>
      </c>
      <c r="G61" t="str">
        <f>VLOOKUP($B:$B,Products!$A:$D,2,FALSE)</f>
        <v>Kurta</v>
      </c>
      <c r="H61" t="str">
        <f>VLOOKUP($B:$B,Products!$A:$D,3,FALSE)</f>
        <v>Clothing</v>
      </c>
      <c r="I61">
        <f>VLOOKUP($B:$B,Products!$A:$D,4,FALSE)</f>
        <v>13241</v>
      </c>
      <c r="J61" s="4">
        <f>VLOOKUP($A:$A,Sales!$B:$H,6,FALSE)</f>
        <v>45601</v>
      </c>
      <c r="K61" s="9">
        <f>VLOOKUP($A:$A,Sales!$B:$H,4,FALSE)</f>
        <v>5</v>
      </c>
      <c r="L61" s="5">
        <f t="shared" si="0"/>
        <v>66205</v>
      </c>
    </row>
    <row r="62" spans="1:12" x14ac:dyDescent="0.3">
      <c r="A62">
        <v>1157</v>
      </c>
      <c r="B62">
        <v>2014</v>
      </c>
      <c r="C62">
        <v>3026</v>
      </c>
      <c r="D62" t="str">
        <f>VLOOKUP('Sales table'!$A:$A,Customers!$A:$H,2,FALSE)</f>
        <v>John West</v>
      </c>
      <c r="E62">
        <f>VLOOKUP('Sales table'!$A:$A,Customers!$A:$H,4,FALSE)</f>
        <v>22</v>
      </c>
      <c r="F62" t="str">
        <f>VLOOKUP('Sales table'!$A:$A,Customers!$A:$H,5,FALSE)</f>
        <v>Pune</v>
      </c>
      <c r="G62" t="str">
        <f>VLOOKUP($B:$B,Products!$A:$D,2,FALSE)</f>
        <v>Gold Coin</v>
      </c>
      <c r="H62" t="str">
        <f>VLOOKUP($B:$B,Products!$A:$D,3,FALSE)</f>
        <v>Precious Items</v>
      </c>
      <c r="I62">
        <f>VLOOKUP($B:$B,Products!$A:$D,4,FALSE)</f>
        <v>13823</v>
      </c>
      <c r="J62" s="4">
        <f>VLOOKUP($A:$A,Sales!$B:$H,6,FALSE)</f>
        <v>45593</v>
      </c>
      <c r="K62" s="9">
        <f>VLOOKUP($A:$A,Sales!$B:$H,4,FALSE)</f>
        <v>2</v>
      </c>
      <c r="L62" s="5">
        <f t="shared" si="0"/>
        <v>27646</v>
      </c>
    </row>
    <row r="63" spans="1:12" x14ac:dyDescent="0.3">
      <c r="A63">
        <v>1296</v>
      </c>
      <c r="B63">
        <v>2006</v>
      </c>
      <c r="C63">
        <v>3002</v>
      </c>
      <c r="D63" t="str">
        <f>VLOOKUP('Sales table'!$A:$A,Customers!$A:$H,2,FALSE)</f>
        <v>Robert Lee</v>
      </c>
      <c r="E63">
        <f>VLOOKUP('Sales table'!$A:$A,Customers!$A:$H,4,FALSE)</f>
        <v>40</v>
      </c>
      <c r="F63" t="str">
        <f>VLOOKUP('Sales table'!$A:$A,Customers!$A:$H,5,FALSE)</f>
        <v>Pune</v>
      </c>
      <c r="G63" t="str">
        <f>VLOOKUP($B:$B,Products!$A:$D,2,FALSE)</f>
        <v>Crackers Pack</v>
      </c>
      <c r="H63" t="str">
        <f>VLOOKUP($B:$B,Products!$A:$D,3,FALSE)</f>
        <v>Crackers</v>
      </c>
      <c r="I63">
        <f>VLOOKUP($B:$B,Products!$A:$D,4,FALSE)</f>
        <v>12060</v>
      </c>
      <c r="J63" s="4">
        <f>VLOOKUP($A:$A,Sales!$B:$H,6,FALSE)</f>
        <v>45610</v>
      </c>
      <c r="K63" s="9">
        <f>VLOOKUP($A:$A,Sales!$B:$H,4,FALSE)</f>
        <v>1</v>
      </c>
      <c r="L63" s="5">
        <f t="shared" si="0"/>
        <v>12060</v>
      </c>
    </row>
    <row r="64" spans="1:12" x14ac:dyDescent="0.3">
      <c r="A64">
        <v>1001</v>
      </c>
      <c r="B64">
        <v>2022</v>
      </c>
      <c r="C64">
        <v>3021</v>
      </c>
      <c r="D64" t="str">
        <f>VLOOKUP('Sales table'!$A:$A,Customers!$A:$H,2,FALSE)</f>
        <v>Michael Mitchell</v>
      </c>
      <c r="E64">
        <f>VLOOKUP('Sales table'!$A:$A,Customers!$A:$H,4,FALSE)</f>
        <v>35</v>
      </c>
      <c r="F64" t="str">
        <f>VLOOKUP('Sales table'!$A:$A,Customers!$A:$H,5,FALSE)</f>
        <v>Mumbai</v>
      </c>
      <c r="G64" t="str">
        <f>VLOOKUP($B:$B,Products!$A:$D,2,FALSE)</f>
        <v>Home Decor Statue</v>
      </c>
      <c r="H64" t="str">
        <f>VLOOKUP($B:$B,Products!$A:$D,3,FALSE)</f>
        <v>Home Decor</v>
      </c>
      <c r="I64">
        <f>VLOOKUP($B:$B,Products!$A:$D,4,FALSE)</f>
        <v>17149</v>
      </c>
      <c r="J64" s="4">
        <f>VLOOKUP($A:$A,Sales!$B:$H,6,FALSE)</f>
        <v>45592</v>
      </c>
      <c r="K64" s="9">
        <f>VLOOKUP($A:$A,Sales!$B:$H,4,FALSE)</f>
        <v>1</v>
      </c>
      <c r="L64" s="5">
        <f t="shared" si="0"/>
        <v>17149</v>
      </c>
    </row>
    <row r="65" spans="1:12" x14ac:dyDescent="0.3">
      <c r="A65">
        <v>1279</v>
      </c>
      <c r="B65">
        <v>2012</v>
      </c>
      <c r="C65">
        <v>3005</v>
      </c>
      <c r="D65" t="str">
        <f>VLOOKUP('Sales table'!$A:$A,Customers!$A:$H,2,FALSE)</f>
        <v>Erin Mann</v>
      </c>
      <c r="E65">
        <f>VLOOKUP('Sales table'!$A:$A,Customers!$A:$H,4,FALSE)</f>
        <v>52</v>
      </c>
      <c r="F65" t="str">
        <f>VLOOKUP('Sales table'!$A:$A,Customers!$A:$H,5,FALSE)</f>
        <v>Delhi</v>
      </c>
      <c r="G65" t="str">
        <f>VLOOKUP($B:$B,Products!$A:$D,2,FALSE)</f>
        <v>Wall Hanging</v>
      </c>
      <c r="H65" t="str">
        <f>VLOOKUP($B:$B,Products!$A:$D,3,FALSE)</f>
        <v>Home Decor</v>
      </c>
      <c r="I65">
        <f>VLOOKUP($B:$B,Products!$A:$D,4,FALSE)</f>
        <v>11867</v>
      </c>
      <c r="J65" s="4">
        <f>VLOOKUP($A:$A,Sales!$B:$H,6,FALSE)</f>
        <v>45611</v>
      </c>
      <c r="K65" s="9">
        <f>VLOOKUP($A:$A,Sales!$B:$H,4,FALSE)</f>
        <v>5</v>
      </c>
      <c r="L65" s="5">
        <f t="shared" si="0"/>
        <v>59335</v>
      </c>
    </row>
    <row r="66" spans="1:12" x14ac:dyDescent="0.3">
      <c r="A66">
        <v>1123</v>
      </c>
      <c r="B66">
        <v>2011</v>
      </c>
      <c r="C66">
        <v>3001</v>
      </c>
      <c r="D66" t="str">
        <f>VLOOKUP('Sales table'!$A:$A,Customers!$A:$H,2,FALSE)</f>
        <v>Luis Long</v>
      </c>
      <c r="E66">
        <f>VLOOKUP('Sales table'!$A:$A,Customers!$A:$H,4,FALSE)</f>
        <v>53</v>
      </c>
      <c r="F66" t="str">
        <f>VLOOKUP('Sales table'!$A:$A,Customers!$A:$H,5,FALSE)</f>
        <v>Chennai</v>
      </c>
      <c r="G66" t="str">
        <f>VLOOKUP($B:$B,Products!$A:$D,2,FALSE)</f>
        <v>Festive Thali</v>
      </c>
      <c r="H66" t="str">
        <f>VLOOKUP($B:$B,Products!$A:$D,3,FALSE)</f>
        <v>Other</v>
      </c>
      <c r="I66">
        <f>VLOOKUP($B:$B,Products!$A:$D,4,FALSE)</f>
        <v>7481</v>
      </c>
      <c r="J66" s="4">
        <f>VLOOKUP($A:$A,Sales!$B:$H,6,FALSE)</f>
        <v>45597</v>
      </c>
      <c r="K66" s="9">
        <f>VLOOKUP($A:$A,Sales!$B:$H,4,FALSE)</f>
        <v>5</v>
      </c>
      <c r="L66" s="5">
        <f t="shared" si="0"/>
        <v>37405</v>
      </c>
    </row>
    <row r="67" spans="1:12" x14ac:dyDescent="0.3">
      <c r="A67">
        <v>1147</v>
      </c>
      <c r="B67">
        <v>2005</v>
      </c>
      <c r="C67">
        <v>3030</v>
      </c>
      <c r="D67" t="str">
        <f>VLOOKUP('Sales table'!$A:$A,Customers!$A:$H,2,FALSE)</f>
        <v>Edward Greene</v>
      </c>
      <c r="E67">
        <f>VLOOKUP('Sales table'!$A:$A,Customers!$A:$H,4,FALSE)</f>
        <v>58</v>
      </c>
      <c r="F67" t="str">
        <f>VLOOKUP('Sales table'!$A:$A,Customers!$A:$H,5,FALSE)</f>
        <v>Hyderabad</v>
      </c>
      <c r="G67" t="str">
        <f>VLOOKUP($B:$B,Products!$A:$D,2,FALSE)</f>
        <v>LED Lamp</v>
      </c>
      <c r="H67" t="str">
        <f>VLOOKUP($B:$B,Products!$A:$D,3,FALSE)</f>
        <v>Home Decor</v>
      </c>
      <c r="I67">
        <f>VLOOKUP($B:$B,Products!$A:$D,4,FALSE)</f>
        <v>3828</v>
      </c>
      <c r="J67" s="4">
        <f>VLOOKUP($A:$A,Sales!$B:$H,6,FALSE)</f>
        <v>45603</v>
      </c>
      <c r="K67" s="9">
        <f>VLOOKUP($A:$A,Sales!$B:$H,4,FALSE)</f>
        <v>1</v>
      </c>
      <c r="L67" s="5">
        <f t="shared" ref="L67:L130" si="1">I67*K67</f>
        <v>3828</v>
      </c>
    </row>
    <row r="68" spans="1:12" x14ac:dyDescent="0.3">
      <c r="A68">
        <v>1137</v>
      </c>
      <c r="B68">
        <v>2016</v>
      </c>
      <c r="C68">
        <v>3025</v>
      </c>
      <c r="D68" t="str">
        <f>VLOOKUP('Sales table'!$A:$A,Customers!$A:$H,2,FALSE)</f>
        <v>Karen Perez</v>
      </c>
      <c r="E68">
        <f>VLOOKUP('Sales table'!$A:$A,Customers!$A:$H,4,FALSE)</f>
        <v>61</v>
      </c>
      <c r="F68" t="str">
        <f>VLOOKUP('Sales table'!$A:$A,Customers!$A:$H,5,FALSE)</f>
        <v>Mumbai</v>
      </c>
      <c r="G68" t="str">
        <f>VLOOKUP($B:$B,Products!$A:$D,2,FALSE)</f>
        <v>Fairy Lights</v>
      </c>
      <c r="H68" t="str">
        <f>VLOOKUP($B:$B,Products!$A:$D,3,FALSE)</f>
        <v>Home Decor</v>
      </c>
      <c r="I68">
        <f>VLOOKUP($B:$B,Products!$A:$D,4,FALSE)</f>
        <v>12242</v>
      </c>
      <c r="J68" s="4">
        <f>VLOOKUP($A:$A,Sales!$B:$H,6,FALSE)</f>
        <v>45599</v>
      </c>
      <c r="K68" s="9">
        <f>VLOOKUP($A:$A,Sales!$B:$H,4,FALSE)</f>
        <v>4</v>
      </c>
      <c r="L68" s="5">
        <f t="shared" si="1"/>
        <v>48968</v>
      </c>
    </row>
    <row r="69" spans="1:12" x14ac:dyDescent="0.3">
      <c r="A69">
        <v>1045</v>
      </c>
      <c r="B69">
        <v>2009</v>
      </c>
      <c r="C69">
        <v>3006</v>
      </c>
      <c r="D69" t="str">
        <f>VLOOKUP('Sales table'!$A:$A,Customers!$A:$H,2,FALSE)</f>
        <v>Melanie Santana</v>
      </c>
      <c r="E69">
        <f>VLOOKUP('Sales table'!$A:$A,Customers!$A:$H,4,FALSE)</f>
        <v>62</v>
      </c>
      <c r="F69" t="str">
        <f>VLOOKUP('Sales table'!$A:$A,Customers!$A:$H,5,FALSE)</f>
        <v>Hyderabad</v>
      </c>
      <c r="G69" t="str">
        <f>VLOOKUP($B:$B,Products!$A:$D,2,FALSE)</f>
        <v>Bluetooth Speaker</v>
      </c>
      <c r="H69" t="str">
        <f>VLOOKUP($B:$B,Products!$A:$D,3,FALSE)</f>
        <v>Electronics</v>
      </c>
      <c r="I69">
        <f>VLOOKUP($B:$B,Products!$A:$D,4,FALSE)</f>
        <v>11047</v>
      </c>
      <c r="J69" s="4">
        <f>VLOOKUP($A:$A,Sales!$B:$H,6,FALSE)</f>
        <v>45594</v>
      </c>
      <c r="K69" s="9">
        <f>VLOOKUP($A:$A,Sales!$B:$H,4,FALSE)</f>
        <v>2</v>
      </c>
      <c r="L69" s="5">
        <f t="shared" si="1"/>
        <v>22094</v>
      </c>
    </row>
    <row r="70" spans="1:12" x14ac:dyDescent="0.3">
      <c r="A70">
        <v>1267</v>
      </c>
      <c r="B70">
        <v>2025</v>
      </c>
      <c r="C70">
        <v>3024</v>
      </c>
      <c r="D70" t="str">
        <f>VLOOKUP('Sales table'!$A:$A,Customers!$A:$H,2,FALSE)</f>
        <v>Sharon Cannon</v>
      </c>
      <c r="E70">
        <f>VLOOKUP('Sales table'!$A:$A,Customers!$A:$H,4,FALSE)</f>
        <v>55</v>
      </c>
      <c r="F70" t="str">
        <f>VLOOKUP('Sales table'!$A:$A,Customers!$A:$H,5,FALSE)</f>
        <v>Mumbai</v>
      </c>
      <c r="G70" t="str">
        <f>VLOOKUP($B:$B,Products!$A:$D,2,FALSE)</f>
        <v>Handbag</v>
      </c>
      <c r="H70" t="str">
        <f>VLOOKUP($B:$B,Products!$A:$D,3,FALSE)</f>
        <v>Accessories</v>
      </c>
      <c r="I70">
        <f>VLOOKUP($B:$B,Products!$A:$D,4,FALSE)</f>
        <v>17019</v>
      </c>
      <c r="J70" s="4">
        <f>VLOOKUP($A:$A,Sales!$B:$H,6,FALSE)</f>
        <v>45593</v>
      </c>
      <c r="K70" s="9">
        <f>VLOOKUP($A:$A,Sales!$B:$H,4,FALSE)</f>
        <v>3</v>
      </c>
      <c r="L70" s="5">
        <f t="shared" si="1"/>
        <v>51057</v>
      </c>
    </row>
    <row r="71" spans="1:12" x14ac:dyDescent="0.3">
      <c r="A71">
        <v>1004</v>
      </c>
      <c r="B71">
        <v>2022</v>
      </c>
      <c r="C71">
        <v>3031</v>
      </c>
      <c r="D71" t="str">
        <f>VLOOKUP('Sales table'!$A:$A,Customers!$A:$H,2,FALSE)</f>
        <v>Holly Hopkins</v>
      </c>
      <c r="E71">
        <f>VLOOKUP('Sales table'!$A:$A,Customers!$A:$H,4,FALSE)</f>
        <v>65</v>
      </c>
      <c r="F71" t="str">
        <f>VLOOKUP('Sales table'!$A:$A,Customers!$A:$H,5,FALSE)</f>
        <v>Mumbai</v>
      </c>
      <c r="G71" t="str">
        <f>VLOOKUP($B:$B,Products!$A:$D,2,FALSE)</f>
        <v>Home Decor Statue</v>
      </c>
      <c r="H71" t="str">
        <f>VLOOKUP($B:$B,Products!$A:$D,3,FALSE)</f>
        <v>Home Decor</v>
      </c>
      <c r="I71">
        <f>VLOOKUP($B:$B,Products!$A:$D,4,FALSE)</f>
        <v>17149</v>
      </c>
      <c r="J71" s="4">
        <f>VLOOKUP($A:$A,Sales!$B:$H,6,FALSE)</f>
        <v>45579</v>
      </c>
      <c r="K71" s="9">
        <f>VLOOKUP($A:$A,Sales!$B:$H,4,FALSE)</f>
        <v>2</v>
      </c>
      <c r="L71" s="5">
        <f t="shared" si="1"/>
        <v>34298</v>
      </c>
    </row>
    <row r="72" spans="1:12" x14ac:dyDescent="0.3">
      <c r="A72">
        <v>1264</v>
      </c>
      <c r="B72">
        <v>2020</v>
      </c>
      <c r="C72">
        <v>3008</v>
      </c>
      <c r="D72" t="str">
        <f>VLOOKUP('Sales table'!$A:$A,Customers!$A:$H,2,FALSE)</f>
        <v>Stephanie King</v>
      </c>
      <c r="E72">
        <f>VLOOKUP('Sales table'!$A:$A,Customers!$A:$H,4,FALSE)</f>
        <v>41</v>
      </c>
      <c r="F72" t="str">
        <f>VLOOKUP('Sales table'!$A:$A,Customers!$A:$H,5,FALSE)</f>
        <v>Mumbai</v>
      </c>
      <c r="G72" t="str">
        <f>VLOOKUP($B:$B,Products!$A:$D,2,FALSE)</f>
        <v>Ethnic Jewelry</v>
      </c>
      <c r="H72" t="str">
        <f>VLOOKUP($B:$B,Products!$A:$D,3,FALSE)</f>
        <v>Precious Items</v>
      </c>
      <c r="I72">
        <f>VLOOKUP($B:$B,Products!$A:$D,4,FALSE)</f>
        <v>4495</v>
      </c>
      <c r="J72" s="4">
        <f>VLOOKUP($A:$A,Sales!$B:$H,6,FALSE)</f>
        <v>45585</v>
      </c>
      <c r="K72" s="9">
        <f>VLOOKUP($A:$A,Sales!$B:$H,4,FALSE)</f>
        <v>2</v>
      </c>
      <c r="L72" s="5">
        <f t="shared" si="1"/>
        <v>8990</v>
      </c>
    </row>
    <row r="73" spans="1:12" x14ac:dyDescent="0.3">
      <c r="A73">
        <v>1008</v>
      </c>
      <c r="B73">
        <v>2024</v>
      </c>
      <c r="C73">
        <v>3014</v>
      </c>
      <c r="D73" t="str">
        <f>VLOOKUP('Sales table'!$A:$A,Customers!$A:$H,2,FALSE)</f>
        <v>Elizabeth Woods</v>
      </c>
      <c r="E73">
        <f>VLOOKUP('Sales table'!$A:$A,Customers!$A:$H,4,FALSE)</f>
        <v>61</v>
      </c>
      <c r="F73" t="str">
        <f>VLOOKUP('Sales table'!$A:$A,Customers!$A:$H,5,FALSE)</f>
        <v>Pune</v>
      </c>
      <c r="G73" t="str">
        <f>VLOOKUP($B:$B,Products!$A:$D,2,FALSE)</f>
        <v>Perfume Gift Set</v>
      </c>
      <c r="H73" t="str">
        <f>VLOOKUP($B:$B,Products!$A:$D,3,FALSE)</f>
        <v>Accessories</v>
      </c>
      <c r="I73">
        <f>VLOOKUP($B:$B,Products!$A:$D,4,FALSE)</f>
        <v>16272</v>
      </c>
      <c r="J73" s="4">
        <f>VLOOKUP($A:$A,Sales!$B:$H,6,FALSE)</f>
        <v>45600</v>
      </c>
      <c r="K73" s="9">
        <f>VLOOKUP($A:$A,Sales!$B:$H,4,FALSE)</f>
        <v>2</v>
      </c>
      <c r="L73" s="5">
        <f t="shared" si="1"/>
        <v>32544</v>
      </c>
    </row>
    <row r="74" spans="1:12" x14ac:dyDescent="0.3">
      <c r="A74">
        <v>1006</v>
      </c>
      <c r="B74">
        <v>2015</v>
      </c>
      <c r="C74">
        <v>3025</v>
      </c>
      <c r="D74" t="str">
        <f>VLOOKUP('Sales table'!$A:$A,Customers!$A:$H,2,FALSE)</f>
        <v>Melissa Peterson</v>
      </c>
      <c r="E74">
        <f>VLOOKUP('Sales table'!$A:$A,Customers!$A:$H,4,FALSE)</f>
        <v>49</v>
      </c>
      <c r="F74" t="str">
        <f>VLOOKUP('Sales table'!$A:$A,Customers!$A:$H,5,FALSE)</f>
        <v>Delhi</v>
      </c>
      <c r="G74" t="str">
        <f>VLOOKUP($B:$B,Products!$A:$D,2,FALSE)</f>
        <v>Candle Set</v>
      </c>
      <c r="H74" t="str">
        <f>VLOOKUP($B:$B,Products!$A:$D,3,FALSE)</f>
        <v>Home Decor</v>
      </c>
      <c r="I74">
        <f>VLOOKUP($B:$B,Products!$A:$D,4,FALSE)</f>
        <v>17604</v>
      </c>
      <c r="J74" s="4">
        <f>VLOOKUP($A:$A,Sales!$B:$H,6,FALSE)</f>
        <v>45599</v>
      </c>
      <c r="K74" s="9">
        <f>VLOOKUP($A:$A,Sales!$B:$H,4,FALSE)</f>
        <v>4</v>
      </c>
      <c r="L74" s="5">
        <f t="shared" si="1"/>
        <v>70416</v>
      </c>
    </row>
    <row r="75" spans="1:12" x14ac:dyDescent="0.3">
      <c r="A75">
        <v>1144</v>
      </c>
      <c r="B75">
        <v>2008</v>
      </c>
      <c r="C75">
        <v>3005</v>
      </c>
      <c r="D75" t="str">
        <f>VLOOKUP('Sales table'!$A:$A,Customers!$A:$H,2,FALSE)</f>
        <v>Amanda Henry</v>
      </c>
      <c r="E75">
        <f>VLOOKUP('Sales table'!$A:$A,Customers!$A:$H,4,FALSE)</f>
        <v>63</v>
      </c>
      <c r="F75" t="str">
        <f>VLOOKUP('Sales table'!$A:$A,Customers!$A:$H,5,FALSE)</f>
        <v>Hyderabad</v>
      </c>
      <c r="G75" t="str">
        <f>VLOOKUP($B:$B,Products!$A:$D,2,FALSE)</f>
        <v>Earthen Diyas</v>
      </c>
      <c r="H75" t="str">
        <f>VLOOKUP($B:$B,Products!$A:$D,3,FALSE)</f>
        <v>Home Decor</v>
      </c>
      <c r="I75">
        <f>VLOOKUP($B:$B,Products!$A:$D,4,FALSE)</f>
        <v>2136</v>
      </c>
      <c r="J75" s="4">
        <f>VLOOKUP($A:$A,Sales!$B:$H,6,FALSE)</f>
        <v>45595</v>
      </c>
      <c r="K75" s="9">
        <f>VLOOKUP($A:$A,Sales!$B:$H,4,FALSE)</f>
        <v>5</v>
      </c>
      <c r="L75" s="5">
        <f t="shared" si="1"/>
        <v>10680</v>
      </c>
    </row>
    <row r="76" spans="1:12" x14ac:dyDescent="0.3">
      <c r="A76">
        <v>1025</v>
      </c>
      <c r="B76">
        <v>2001</v>
      </c>
      <c r="C76">
        <v>3016</v>
      </c>
      <c r="D76" t="str">
        <f>VLOOKUP('Sales table'!$A:$A,Customers!$A:$H,2,FALSE)</f>
        <v>Susan Wheeler</v>
      </c>
      <c r="E76">
        <f>VLOOKUP('Sales table'!$A:$A,Customers!$A:$H,4,FALSE)</f>
        <v>36</v>
      </c>
      <c r="F76" t="str">
        <f>VLOOKUP('Sales table'!$A:$A,Customers!$A:$H,5,FALSE)</f>
        <v>Kolkata</v>
      </c>
      <c r="G76" t="str">
        <f>VLOOKUP($B:$B,Products!$A:$D,2,FALSE)</f>
        <v>Sweets Box</v>
      </c>
      <c r="H76" t="str">
        <f>VLOOKUP($B:$B,Products!$A:$D,3,FALSE)</f>
        <v>Sweets &amp; Gifts</v>
      </c>
      <c r="I76">
        <f>VLOOKUP($B:$B,Products!$A:$D,4,FALSE)</f>
        <v>7228</v>
      </c>
      <c r="J76" s="4">
        <f>VLOOKUP($A:$A,Sales!$B:$H,6,FALSE)</f>
        <v>45591</v>
      </c>
      <c r="K76" s="9">
        <f>VLOOKUP($A:$A,Sales!$B:$H,4,FALSE)</f>
        <v>2</v>
      </c>
      <c r="L76" s="5">
        <f t="shared" si="1"/>
        <v>14456</v>
      </c>
    </row>
    <row r="77" spans="1:12" x14ac:dyDescent="0.3">
      <c r="A77">
        <v>1077</v>
      </c>
      <c r="B77">
        <v>2016</v>
      </c>
      <c r="C77">
        <v>3020</v>
      </c>
      <c r="D77" t="str">
        <f>VLOOKUP('Sales table'!$A:$A,Customers!$A:$H,2,FALSE)</f>
        <v>Carlos Hester</v>
      </c>
      <c r="E77">
        <f>VLOOKUP('Sales table'!$A:$A,Customers!$A:$H,4,FALSE)</f>
        <v>36</v>
      </c>
      <c r="F77" t="str">
        <f>VLOOKUP('Sales table'!$A:$A,Customers!$A:$H,5,FALSE)</f>
        <v>Delhi</v>
      </c>
      <c r="G77" t="str">
        <f>VLOOKUP($B:$B,Products!$A:$D,2,FALSE)</f>
        <v>Fairy Lights</v>
      </c>
      <c r="H77" t="str">
        <f>VLOOKUP($B:$B,Products!$A:$D,3,FALSE)</f>
        <v>Home Decor</v>
      </c>
      <c r="I77">
        <f>VLOOKUP($B:$B,Products!$A:$D,4,FALSE)</f>
        <v>12242</v>
      </c>
      <c r="J77" s="4">
        <f>VLOOKUP($A:$A,Sales!$B:$H,6,FALSE)</f>
        <v>45588</v>
      </c>
      <c r="K77" s="9">
        <f>VLOOKUP($A:$A,Sales!$B:$H,4,FALSE)</f>
        <v>4</v>
      </c>
      <c r="L77" s="5">
        <f t="shared" si="1"/>
        <v>48968</v>
      </c>
    </row>
    <row r="78" spans="1:12" x14ac:dyDescent="0.3">
      <c r="A78">
        <v>1113</v>
      </c>
      <c r="B78">
        <v>2014</v>
      </c>
      <c r="C78">
        <v>3031</v>
      </c>
      <c r="D78" t="str">
        <f>VLOOKUP('Sales table'!$A:$A,Customers!$A:$H,2,FALSE)</f>
        <v>Tyler Lozano</v>
      </c>
      <c r="E78">
        <f>VLOOKUP('Sales table'!$A:$A,Customers!$A:$H,4,FALSE)</f>
        <v>62</v>
      </c>
      <c r="F78" t="str">
        <f>VLOOKUP('Sales table'!$A:$A,Customers!$A:$H,5,FALSE)</f>
        <v>Chennai</v>
      </c>
      <c r="G78" t="str">
        <f>VLOOKUP($B:$B,Products!$A:$D,2,FALSE)</f>
        <v>Gold Coin</v>
      </c>
      <c r="H78" t="str">
        <f>VLOOKUP($B:$B,Products!$A:$D,3,FALSE)</f>
        <v>Precious Items</v>
      </c>
      <c r="I78">
        <f>VLOOKUP($B:$B,Products!$A:$D,4,FALSE)</f>
        <v>13823</v>
      </c>
      <c r="J78" s="4">
        <f>VLOOKUP($A:$A,Sales!$B:$H,6,FALSE)</f>
        <v>45608</v>
      </c>
      <c r="K78" s="9">
        <f>VLOOKUP($A:$A,Sales!$B:$H,4,FALSE)</f>
        <v>1</v>
      </c>
      <c r="L78" s="5">
        <f t="shared" si="1"/>
        <v>13823</v>
      </c>
    </row>
    <row r="79" spans="1:12" x14ac:dyDescent="0.3">
      <c r="A79">
        <v>1185</v>
      </c>
      <c r="B79">
        <v>2011</v>
      </c>
      <c r="C79">
        <v>3027</v>
      </c>
      <c r="D79" t="str">
        <f>VLOOKUP('Sales table'!$A:$A,Customers!$A:$H,2,FALSE)</f>
        <v>Patrick Osborn</v>
      </c>
      <c r="E79">
        <f>VLOOKUP('Sales table'!$A:$A,Customers!$A:$H,4,FALSE)</f>
        <v>52</v>
      </c>
      <c r="F79" t="str">
        <f>VLOOKUP('Sales table'!$A:$A,Customers!$A:$H,5,FALSE)</f>
        <v>Mumbai</v>
      </c>
      <c r="G79" t="str">
        <f>VLOOKUP($B:$B,Products!$A:$D,2,FALSE)</f>
        <v>Festive Thali</v>
      </c>
      <c r="H79" t="str">
        <f>VLOOKUP($B:$B,Products!$A:$D,3,FALSE)</f>
        <v>Other</v>
      </c>
      <c r="I79">
        <f>VLOOKUP($B:$B,Products!$A:$D,4,FALSE)</f>
        <v>7481</v>
      </c>
      <c r="J79" s="4">
        <f>VLOOKUP($A:$A,Sales!$B:$H,6,FALSE)</f>
        <v>45597</v>
      </c>
      <c r="K79" s="9">
        <f>VLOOKUP($A:$A,Sales!$B:$H,4,FALSE)</f>
        <v>4</v>
      </c>
      <c r="L79" s="5">
        <f t="shared" si="1"/>
        <v>29924</v>
      </c>
    </row>
    <row r="80" spans="1:12" x14ac:dyDescent="0.3">
      <c r="A80">
        <v>1083</v>
      </c>
      <c r="B80">
        <v>2012</v>
      </c>
      <c r="C80">
        <v>3015</v>
      </c>
      <c r="D80" t="str">
        <f>VLOOKUP('Sales table'!$A:$A,Customers!$A:$H,2,FALSE)</f>
        <v>James Barrera</v>
      </c>
      <c r="E80">
        <f>VLOOKUP('Sales table'!$A:$A,Customers!$A:$H,4,FALSE)</f>
        <v>31</v>
      </c>
      <c r="F80" t="str">
        <f>VLOOKUP('Sales table'!$A:$A,Customers!$A:$H,5,FALSE)</f>
        <v>Pune</v>
      </c>
      <c r="G80" t="str">
        <f>VLOOKUP($B:$B,Products!$A:$D,2,FALSE)</f>
        <v>Wall Hanging</v>
      </c>
      <c r="H80" t="str">
        <f>VLOOKUP($B:$B,Products!$A:$D,3,FALSE)</f>
        <v>Home Decor</v>
      </c>
      <c r="I80">
        <f>VLOOKUP($B:$B,Products!$A:$D,4,FALSE)</f>
        <v>11867</v>
      </c>
      <c r="J80" s="4">
        <f>VLOOKUP($A:$A,Sales!$B:$H,6,FALSE)</f>
        <v>45593</v>
      </c>
      <c r="K80" s="9">
        <f>VLOOKUP($A:$A,Sales!$B:$H,4,FALSE)</f>
        <v>4</v>
      </c>
      <c r="L80" s="5">
        <f t="shared" si="1"/>
        <v>47468</v>
      </c>
    </row>
    <row r="81" spans="1:12" x14ac:dyDescent="0.3">
      <c r="A81">
        <v>1115</v>
      </c>
      <c r="B81">
        <v>2006</v>
      </c>
      <c r="C81">
        <v>3017</v>
      </c>
      <c r="D81" t="str">
        <f>VLOOKUP('Sales table'!$A:$A,Customers!$A:$H,2,FALSE)</f>
        <v>Valerie Winters</v>
      </c>
      <c r="E81">
        <f>VLOOKUP('Sales table'!$A:$A,Customers!$A:$H,4,FALSE)</f>
        <v>61</v>
      </c>
      <c r="F81" t="str">
        <f>VLOOKUP('Sales table'!$A:$A,Customers!$A:$H,5,FALSE)</f>
        <v>Delhi</v>
      </c>
      <c r="G81" t="str">
        <f>VLOOKUP($B:$B,Products!$A:$D,2,FALSE)</f>
        <v>Crackers Pack</v>
      </c>
      <c r="H81" t="str">
        <f>VLOOKUP($B:$B,Products!$A:$D,3,FALSE)</f>
        <v>Crackers</v>
      </c>
      <c r="I81">
        <f>VLOOKUP($B:$B,Products!$A:$D,4,FALSE)</f>
        <v>12060</v>
      </c>
      <c r="J81" s="4">
        <f>VLOOKUP($A:$A,Sales!$B:$H,6,FALSE)</f>
        <v>45593</v>
      </c>
      <c r="K81" s="9">
        <f>VLOOKUP($A:$A,Sales!$B:$H,4,FALSE)</f>
        <v>4</v>
      </c>
      <c r="L81" s="5">
        <f t="shared" si="1"/>
        <v>48240</v>
      </c>
    </row>
    <row r="82" spans="1:12" x14ac:dyDescent="0.3">
      <c r="A82">
        <v>1244</v>
      </c>
      <c r="B82">
        <v>2013</v>
      </c>
      <c r="C82">
        <v>3028</v>
      </c>
      <c r="D82" t="str">
        <f>VLOOKUP('Sales table'!$A:$A,Customers!$A:$H,2,FALSE)</f>
        <v>Leonard Kim</v>
      </c>
      <c r="E82">
        <f>VLOOKUP('Sales table'!$A:$A,Customers!$A:$H,4,FALSE)</f>
        <v>18</v>
      </c>
      <c r="F82" t="str">
        <f>VLOOKUP('Sales table'!$A:$A,Customers!$A:$H,5,FALSE)</f>
        <v>Hyderabad</v>
      </c>
      <c r="G82" t="str">
        <f>VLOOKUP($B:$B,Products!$A:$D,2,FALSE)</f>
        <v>Silver Coin</v>
      </c>
      <c r="H82" t="str">
        <f>VLOOKUP($B:$B,Products!$A:$D,3,FALSE)</f>
        <v>Precious Items</v>
      </c>
      <c r="I82">
        <f>VLOOKUP($B:$B,Products!$A:$D,4,FALSE)</f>
        <v>11845</v>
      </c>
      <c r="J82" s="4">
        <f>VLOOKUP($A:$A,Sales!$B:$H,6,FALSE)</f>
        <v>45589</v>
      </c>
      <c r="K82" s="9">
        <f>VLOOKUP($A:$A,Sales!$B:$H,4,FALSE)</f>
        <v>1</v>
      </c>
      <c r="L82" s="5">
        <f t="shared" si="1"/>
        <v>11845</v>
      </c>
    </row>
    <row r="83" spans="1:12" x14ac:dyDescent="0.3">
      <c r="A83">
        <v>1141</v>
      </c>
      <c r="B83">
        <v>2012</v>
      </c>
      <c r="C83">
        <v>3026</v>
      </c>
      <c r="D83" t="str">
        <f>VLOOKUP('Sales table'!$A:$A,Customers!$A:$H,2,FALSE)</f>
        <v>Pamela Smith</v>
      </c>
      <c r="E83">
        <f>VLOOKUP('Sales table'!$A:$A,Customers!$A:$H,4,FALSE)</f>
        <v>40</v>
      </c>
      <c r="F83" t="str">
        <f>VLOOKUP('Sales table'!$A:$A,Customers!$A:$H,5,FALSE)</f>
        <v>Bangalore</v>
      </c>
      <c r="G83" t="str">
        <f>VLOOKUP($B:$B,Products!$A:$D,2,FALSE)</f>
        <v>Wall Hanging</v>
      </c>
      <c r="H83" t="str">
        <f>VLOOKUP($B:$B,Products!$A:$D,3,FALSE)</f>
        <v>Home Decor</v>
      </c>
      <c r="I83">
        <f>VLOOKUP($B:$B,Products!$A:$D,4,FALSE)</f>
        <v>11867</v>
      </c>
      <c r="J83" s="4">
        <f>VLOOKUP($A:$A,Sales!$B:$H,6,FALSE)</f>
        <v>45584</v>
      </c>
      <c r="K83" s="9">
        <f>VLOOKUP($A:$A,Sales!$B:$H,4,FALSE)</f>
        <v>5</v>
      </c>
      <c r="L83" s="5">
        <f t="shared" si="1"/>
        <v>59335</v>
      </c>
    </row>
    <row r="84" spans="1:12" x14ac:dyDescent="0.3">
      <c r="A84">
        <v>1221</v>
      </c>
      <c r="B84">
        <v>2013</v>
      </c>
      <c r="C84">
        <v>3033</v>
      </c>
      <c r="D84" t="str">
        <f>VLOOKUP('Sales table'!$A:$A,Customers!$A:$H,2,FALSE)</f>
        <v>Elizabeth Garcia</v>
      </c>
      <c r="E84">
        <f>VLOOKUP('Sales table'!$A:$A,Customers!$A:$H,4,FALSE)</f>
        <v>29</v>
      </c>
      <c r="F84" t="str">
        <f>VLOOKUP('Sales table'!$A:$A,Customers!$A:$H,5,FALSE)</f>
        <v>Chennai</v>
      </c>
      <c r="G84" t="str">
        <f>VLOOKUP($B:$B,Products!$A:$D,2,FALSE)</f>
        <v>Silver Coin</v>
      </c>
      <c r="H84" t="str">
        <f>VLOOKUP($B:$B,Products!$A:$D,3,FALSE)</f>
        <v>Precious Items</v>
      </c>
      <c r="I84">
        <f>VLOOKUP($B:$B,Products!$A:$D,4,FALSE)</f>
        <v>11845</v>
      </c>
      <c r="J84" s="4">
        <f>VLOOKUP($A:$A,Sales!$B:$H,6,FALSE)</f>
        <v>45597</v>
      </c>
      <c r="K84" s="9">
        <f>VLOOKUP($A:$A,Sales!$B:$H,4,FALSE)</f>
        <v>1</v>
      </c>
      <c r="L84" s="5">
        <f t="shared" si="1"/>
        <v>11845</v>
      </c>
    </row>
    <row r="85" spans="1:12" x14ac:dyDescent="0.3">
      <c r="A85">
        <v>1113</v>
      </c>
      <c r="B85">
        <v>2010</v>
      </c>
      <c r="C85">
        <v>3035</v>
      </c>
      <c r="D85" t="str">
        <f>VLOOKUP('Sales table'!$A:$A,Customers!$A:$H,2,FALSE)</f>
        <v>Tyler Lozano</v>
      </c>
      <c r="E85">
        <f>VLOOKUP('Sales table'!$A:$A,Customers!$A:$H,4,FALSE)</f>
        <v>62</v>
      </c>
      <c r="F85" t="str">
        <f>VLOOKUP('Sales table'!$A:$A,Customers!$A:$H,5,FALSE)</f>
        <v>Chennai</v>
      </c>
      <c r="G85" t="str">
        <f>VLOOKUP($B:$B,Products!$A:$D,2,FALSE)</f>
        <v>Chocolate Box</v>
      </c>
      <c r="H85" t="str">
        <f>VLOOKUP($B:$B,Products!$A:$D,3,FALSE)</f>
        <v>Sweets &amp; Gifts</v>
      </c>
      <c r="I85">
        <f>VLOOKUP($B:$B,Products!$A:$D,4,FALSE)</f>
        <v>17909</v>
      </c>
      <c r="J85" s="4">
        <f>VLOOKUP($A:$A,Sales!$B:$H,6,FALSE)</f>
        <v>45608</v>
      </c>
      <c r="K85" s="9">
        <f>VLOOKUP($A:$A,Sales!$B:$H,4,FALSE)</f>
        <v>1</v>
      </c>
      <c r="L85" s="5">
        <f t="shared" si="1"/>
        <v>17909</v>
      </c>
    </row>
    <row r="86" spans="1:12" x14ac:dyDescent="0.3">
      <c r="A86">
        <v>1165</v>
      </c>
      <c r="B86">
        <v>2021</v>
      </c>
      <c r="C86">
        <v>3031</v>
      </c>
      <c r="D86" t="str">
        <f>VLOOKUP('Sales table'!$A:$A,Customers!$A:$H,2,FALSE)</f>
        <v>Amanda Carter</v>
      </c>
      <c r="E86">
        <f>VLOOKUP('Sales table'!$A:$A,Customers!$A:$H,4,FALSE)</f>
        <v>38</v>
      </c>
      <c r="F86" t="str">
        <f>VLOOKUP('Sales table'!$A:$A,Customers!$A:$H,5,FALSE)</f>
        <v>Kolkata</v>
      </c>
      <c r="G86" t="str">
        <f>VLOOKUP($B:$B,Products!$A:$D,2,FALSE)</f>
        <v>Smartwatch</v>
      </c>
      <c r="H86" t="str">
        <f>VLOOKUP($B:$B,Products!$A:$D,3,FALSE)</f>
        <v>Electronics</v>
      </c>
      <c r="I86">
        <f>VLOOKUP($B:$B,Products!$A:$D,4,FALSE)</f>
        <v>17586</v>
      </c>
      <c r="J86" s="4">
        <f>VLOOKUP($A:$A,Sales!$B:$H,6,FALSE)</f>
        <v>45612</v>
      </c>
      <c r="K86" s="9">
        <f>VLOOKUP($A:$A,Sales!$B:$H,4,FALSE)</f>
        <v>4</v>
      </c>
      <c r="L86" s="5">
        <f t="shared" si="1"/>
        <v>70344</v>
      </c>
    </row>
    <row r="87" spans="1:12" x14ac:dyDescent="0.3">
      <c r="A87">
        <v>1190</v>
      </c>
      <c r="B87">
        <v>2016</v>
      </c>
      <c r="C87">
        <v>3010</v>
      </c>
      <c r="D87" t="str">
        <f>VLOOKUP('Sales table'!$A:$A,Customers!$A:$H,2,FALSE)</f>
        <v>Mark Stanton</v>
      </c>
      <c r="E87">
        <f>VLOOKUP('Sales table'!$A:$A,Customers!$A:$H,4,FALSE)</f>
        <v>29</v>
      </c>
      <c r="F87" t="str">
        <f>VLOOKUP('Sales table'!$A:$A,Customers!$A:$H,5,FALSE)</f>
        <v>Delhi</v>
      </c>
      <c r="G87" t="str">
        <f>VLOOKUP($B:$B,Products!$A:$D,2,FALSE)</f>
        <v>Fairy Lights</v>
      </c>
      <c r="H87" t="str">
        <f>VLOOKUP($B:$B,Products!$A:$D,3,FALSE)</f>
        <v>Home Decor</v>
      </c>
      <c r="I87">
        <f>VLOOKUP($B:$B,Products!$A:$D,4,FALSE)</f>
        <v>12242</v>
      </c>
      <c r="J87" s="4">
        <f>VLOOKUP($A:$A,Sales!$B:$H,6,FALSE)</f>
        <v>45609</v>
      </c>
      <c r="K87" s="9">
        <f>VLOOKUP($A:$A,Sales!$B:$H,4,FALSE)</f>
        <v>5</v>
      </c>
      <c r="L87" s="5">
        <f t="shared" si="1"/>
        <v>61210</v>
      </c>
    </row>
    <row r="88" spans="1:12" x14ac:dyDescent="0.3">
      <c r="A88">
        <v>1085</v>
      </c>
      <c r="B88">
        <v>2004</v>
      </c>
      <c r="C88">
        <v>3030</v>
      </c>
      <c r="D88" t="str">
        <f>VLOOKUP('Sales table'!$A:$A,Customers!$A:$H,2,FALSE)</f>
        <v>Amanda Nichols</v>
      </c>
      <c r="E88">
        <f>VLOOKUP('Sales table'!$A:$A,Customers!$A:$H,4,FALSE)</f>
        <v>36</v>
      </c>
      <c r="F88" t="str">
        <f>VLOOKUP('Sales table'!$A:$A,Customers!$A:$H,5,FALSE)</f>
        <v>Delhi</v>
      </c>
      <c r="G88" t="str">
        <f>VLOOKUP($B:$B,Products!$A:$D,2,FALSE)</f>
        <v>Smartphone</v>
      </c>
      <c r="H88" t="str">
        <f>VLOOKUP($B:$B,Products!$A:$D,3,FALSE)</f>
        <v>Electronics</v>
      </c>
      <c r="I88">
        <f>VLOOKUP($B:$B,Products!$A:$D,4,FALSE)</f>
        <v>4952</v>
      </c>
      <c r="J88" s="4">
        <f>VLOOKUP($A:$A,Sales!$B:$H,6,FALSE)</f>
        <v>45595</v>
      </c>
      <c r="K88" s="9">
        <f>VLOOKUP($A:$A,Sales!$B:$H,4,FALSE)</f>
        <v>2</v>
      </c>
      <c r="L88" s="5">
        <f t="shared" si="1"/>
        <v>9904</v>
      </c>
    </row>
    <row r="89" spans="1:12" x14ac:dyDescent="0.3">
      <c r="A89">
        <v>1234</v>
      </c>
      <c r="B89">
        <v>2004</v>
      </c>
      <c r="C89">
        <v>3033</v>
      </c>
      <c r="D89" t="str">
        <f>VLOOKUP('Sales table'!$A:$A,Customers!$A:$H,2,FALSE)</f>
        <v>Kaitlyn Collier</v>
      </c>
      <c r="E89">
        <f>VLOOKUP('Sales table'!$A:$A,Customers!$A:$H,4,FALSE)</f>
        <v>55</v>
      </c>
      <c r="F89" t="str">
        <f>VLOOKUP('Sales table'!$A:$A,Customers!$A:$H,5,FALSE)</f>
        <v>Kolkata</v>
      </c>
      <c r="G89" t="str">
        <f>VLOOKUP($B:$B,Products!$A:$D,2,FALSE)</f>
        <v>Smartphone</v>
      </c>
      <c r="H89" t="str">
        <f>VLOOKUP($B:$B,Products!$A:$D,3,FALSE)</f>
        <v>Electronics</v>
      </c>
      <c r="I89">
        <f>VLOOKUP($B:$B,Products!$A:$D,4,FALSE)</f>
        <v>4952</v>
      </c>
      <c r="J89" s="4">
        <f>VLOOKUP($A:$A,Sales!$B:$H,6,FALSE)</f>
        <v>45610</v>
      </c>
      <c r="K89" s="9">
        <f>VLOOKUP($A:$A,Sales!$B:$H,4,FALSE)</f>
        <v>4</v>
      </c>
      <c r="L89" s="5">
        <f t="shared" si="1"/>
        <v>19808</v>
      </c>
    </row>
    <row r="90" spans="1:12" x14ac:dyDescent="0.3">
      <c r="A90">
        <v>1043</v>
      </c>
      <c r="B90">
        <v>2023</v>
      </c>
      <c r="C90">
        <v>3012</v>
      </c>
      <c r="D90" t="str">
        <f>VLOOKUP('Sales table'!$A:$A,Customers!$A:$H,2,FALSE)</f>
        <v>Brenda Foster</v>
      </c>
      <c r="E90">
        <f>VLOOKUP('Sales table'!$A:$A,Customers!$A:$H,4,FALSE)</f>
        <v>49</v>
      </c>
      <c r="F90" t="str">
        <f>VLOOKUP('Sales table'!$A:$A,Customers!$A:$H,5,FALSE)</f>
        <v>Bangalore</v>
      </c>
      <c r="G90" t="str">
        <f>VLOOKUP($B:$B,Products!$A:$D,2,FALSE)</f>
        <v>Kids Wear</v>
      </c>
      <c r="H90" t="str">
        <f>VLOOKUP($B:$B,Products!$A:$D,3,FALSE)</f>
        <v>Clothing</v>
      </c>
      <c r="I90">
        <f>VLOOKUP($B:$B,Products!$A:$D,4,FALSE)</f>
        <v>4794</v>
      </c>
      <c r="J90" s="4">
        <f>VLOOKUP($A:$A,Sales!$B:$H,6,FALSE)</f>
        <v>45601</v>
      </c>
      <c r="K90" s="9">
        <f>VLOOKUP($A:$A,Sales!$B:$H,4,FALSE)</f>
        <v>2</v>
      </c>
      <c r="L90" s="5">
        <f t="shared" si="1"/>
        <v>9588</v>
      </c>
    </row>
    <row r="91" spans="1:12" x14ac:dyDescent="0.3">
      <c r="A91">
        <v>1266</v>
      </c>
      <c r="B91">
        <v>2001</v>
      </c>
      <c r="C91">
        <v>3023</v>
      </c>
      <c r="D91" t="str">
        <f>VLOOKUP('Sales table'!$A:$A,Customers!$A:$H,2,FALSE)</f>
        <v>Kim Mckinney</v>
      </c>
      <c r="E91">
        <f>VLOOKUP('Sales table'!$A:$A,Customers!$A:$H,4,FALSE)</f>
        <v>48</v>
      </c>
      <c r="F91" t="str">
        <f>VLOOKUP('Sales table'!$A:$A,Customers!$A:$H,5,FALSE)</f>
        <v>Delhi</v>
      </c>
      <c r="G91" t="str">
        <f>VLOOKUP($B:$B,Products!$A:$D,2,FALSE)</f>
        <v>Sweets Box</v>
      </c>
      <c r="H91" t="str">
        <f>VLOOKUP($B:$B,Products!$A:$D,3,FALSE)</f>
        <v>Sweets &amp; Gifts</v>
      </c>
      <c r="I91">
        <f>VLOOKUP($B:$B,Products!$A:$D,4,FALSE)</f>
        <v>7228</v>
      </c>
      <c r="J91" s="4">
        <f>VLOOKUP($A:$A,Sales!$B:$H,6,FALSE)</f>
        <v>45604</v>
      </c>
      <c r="K91" s="9">
        <f>VLOOKUP($A:$A,Sales!$B:$H,4,FALSE)</f>
        <v>5</v>
      </c>
      <c r="L91" s="5">
        <f t="shared" si="1"/>
        <v>36140</v>
      </c>
    </row>
    <row r="92" spans="1:12" x14ac:dyDescent="0.3">
      <c r="A92">
        <v>1182</v>
      </c>
      <c r="B92">
        <v>2024</v>
      </c>
      <c r="C92">
        <v>3020</v>
      </c>
      <c r="D92" t="str">
        <f>VLOOKUP('Sales table'!$A:$A,Customers!$A:$H,2,FALSE)</f>
        <v>Benjamin Sanchez</v>
      </c>
      <c r="E92">
        <f>VLOOKUP('Sales table'!$A:$A,Customers!$A:$H,4,FALSE)</f>
        <v>47</v>
      </c>
      <c r="F92" t="str">
        <f>VLOOKUP('Sales table'!$A:$A,Customers!$A:$H,5,FALSE)</f>
        <v>Bangalore</v>
      </c>
      <c r="G92" t="str">
        <f>VLOOKUP($B:$B,Products!$A:$D,2,FALSE)</f>
        <v>Perfume Gift Set</v>
      </c>
      <c r="H92" t="str">
        <f>VLOOKUP($B:$B,Products!$A:$D,3,FALSE)</f>
        <v>Accessories</v>
      </c>
      <c r="I92">
        <f>VLOOKUP($B:$B,Products!$A:$D,4,FALSE)</f>
        <v>16272</v>
      </c>
      <c r="J92" s="4">
        <f>VLOOKUP($A:$A,Sales!$B:$H,6,FALSE)</f>
        <v>45604</v>
      </c>
      <c r="K92" s="9">
        <f>VLOOKUP($A:$A,Sales!$B:$H,4,FALSE)</f>
        <v>2</v>
      </c>
      <c r="L92" s="5">
        <f t="shared" si="1"/>
        <v>32544</v>
      </c>
    </row>
    <row r="93" spans="1:12" x14ac:dyDescent="0.3">
      <c r="A93">
        <v>1158</v>
      </c>
      <c r="B93">
        <v>2023</v>
      </c>
      <c r="C93">
        <v>3028</v>
      </c>
      <c r="D93" t="str">
        <f>VLOOKUP('Sales table'!$A:$A,Customers!$A:$H,2,FALSE)</f>
        <v>David Smith</v>
      </c>
      <c r="E93">
        <f>VLOOKUP('Sales table'!$A:$A,Customers!$A:$H,4,FALSE)</f>
        <v>59</v>
      </c>
      <c r="F93" t="str">
        <f>VLOOKUP('Sales table'!$A:$A,Customers!$A:$H,5,FALSE)</f>
        <v>Mumbai</v>
      </c>
      <c r="G93" t="str">
        <f>VLOOKUP($B:$B,Products!$A:$D,2,FALSE)</f>
        <v>Kids Wear</v>
      </c>
      <c r="H93" t="str">
        <f>VLOOKUP($B:$B,Products!$A:$D,3,FALSE)</f>
        <v>Clothing</v>
      </c>
      <c r="I93">
        <f>VLOOKUP($B:$B,Products!$A:$D,4,FALSE)</f>
        <v>4794</v>
      </c>
      <c r="J93" s="4">
        <f>VLOOKUP($A:$A,Sales!$B:$H,6,FALSE)</f>
        <v>45580</v>
      </c>
      <c r="K93" s="9">
        <f>VLOOKUP($A:$A,Sales!$B:$H,4,FALSE)</f>
        <v>1</v>
      </c>
      <c r="L93" s="5">
        <f t="shared" si="1"/>
        <v>4794</v>
      </c>
    </row>
    <row r="94" spans="1:12" x14ac:dyDescent="0.3">
      <c r="A94">
        <v>1089</v>
      </c>
      <c r="B94">
        <v>2008</v>
      </c>
      <c r="C94">
        <v>3013</v>
      </c>
      <c r="D94" t="str">
        <f>VLOOKUP('Sales table'!$A:$A,Customers!$A:$H,2,FALSE)</f>
        <v>Luis Smith</v>
      </c>
      <c r="E94">
        <f>VLOOKUP('Sales table'!$A:$A,Customers!$A:$H,4,FALSE)</f>
        <v>57</v>
      </c>
      <c r="F94" t="str">
        <f>VLOOKUP('Sales table'!$A:$A,Customers!$A:$H,5,FALSE)</f>
        <v>Mumbai</v>
      </c>
      <c r="G94" t="str">
        <f>VLOOKUP($B:$B,Products!$A:$D,2,FALSE)</f>
        <v>Earthen Diyas</v>
      </c>
      <c r="H94" t="str">
        <f>VLOOKUP($B:$B,Products!$A:$D,3,FALSE)</f>
        <v>Home Decor</v>
      </c>
      <c r="I94">
        <f>VLOOKUP($B:$B,Products!$A:$D,4,FALSE)</f>
        <v>2136</v>
      </c>
      <c r="J94" s="4">
        <f>VLOOKUP($A:$A,Sales!$B:$H,6,FALSE)</f>
        <v>45597</v>
      </c>
      <c r="K94" s="9">
        <f>VLOOKUP($A:$A,Sales!$B:$H,4,FALSE)</f>
        <v>4</v>
      </c>
      <c r="L94" s="5">
        <f t="shared" si="1"/>
        <v>8544</v>
      </c>
    </row>
    <row r="95" spans="1:12" x14ac:dyDescent="0.3">
      <c r="A95">
        <v>1160</v>
      </c>
      <c r="B95">
        <v>2009</v>
      </c>
      <c r="C95">
        <v>3032</v>
      </c>
      <c r="D95" t="str">
        <f>VLOOKUP('Sales table'!$A:$A,Customers!$A:$H,2,FALSE)</f>
        <v>Adam Morris</v>
      </c>
      <c r="E95">
        <f>VLOOKUP('Sales table'!$A:$A,Customers!$A:$H,4,FALSE)</f>
        <v>26</v>
      </c>
      <c r="F95" t="str">
        <f>VLOOKUP('Sales table'!$A:$A,Customers!$A:$H,5,FALSE)</f>
        <v>Hyderabad</v>
      </c>
      <c r="G95" t="str">
        <f>VLOOKUP($B:$B,Products!$A:$D,2,FALSE)</f>
        <v>Bluetooth Speaker</v>
      </c>
      <c r="H95" t="str">
        <f>VLOOKUP($B:$B,Products!$A:$D,3,FALSE)</f>
        <v>Electronics</v>
      </c>
      <c r="I95">
        <f>VLOOKUP($B:$B,Products!$A:$D,4,FALSE)</f>
        <v>11047</v>
      </c>
      <c r="J95" s="4">
        <f>VLOOKUP($A:$A,Sales!$B:$H,6,FALSE)</f>
        <v>45584</v>
      </c>
      <c r="K95" s="9">
        <f>VLOOKUP($A:$A,Sales!$B:$H,4,FALSE)</f>
        <v>5</v>
      </c>
      <c r="L95" s="5">
        <f t="shared" si="1"/>
        <v>55235</v>
      </c>
    </row>
    <row r="96" spans="1:12" x14ac:dyDescent="0.3">
      <c r="A96">
        <v>1172</v>
      </c>
      <c r="B96">
        <v>2015</v>
      </c>
      <c r="C96">
        <v>3016</v>
      </c>
      <c r="D96" t="str">
        <f>VLOOKUP('Sales table'!$A:$A,Customers!$A:$H,2,FALSE)</f>
        <v>Angela Rivera</v>
      </c>
      <c r="E96">
        <f>VLOOKUP('Sales table'!$A:$A,Customers!$A:$H,4,FALSE)</f>
        <v>44</v>
      </c>
      <c r="F96" t="str">
        <f>VLOOKUP('Sales table'!$A:$A,Customers!$A:$H,5,FALSE)</f>
        <v>Mumbai</v>
      </c>
      <c r="G96" t="str">
        <f>VLOOKUP($B:$B,Products!$A:$D,2,FALSE)</f>
        <v>Candle Set</v>
      </c>
      <c r="H96" t="str">
        <f>VLOOKUP($B:$B,Products!$A:$D,3,FALSE)</f>
        <v>Home Decor</v>
      </c>
      <c r="I96">
        <f>VLOOKUP($B:$B,Products!$A:$D,4,FALSE)</f>
        <v>17604</v>
      </c>
      <c r="J96" s="4">
        <f>VLOOKUP($A:$A,Sales!$B:$H,6,FALSE)</f>
        <v>45587</v>
      </c>
      <c r="K96" s="9">
        <f>VLOOKUP($A:$A,Sales!$B:$H,4,FALSE)</f>
        <v>4</v>
      </c>
      <c r="L96" s="5">
        <f t="shared" si="1"/>
        <v>70416</v>
      </c>
    </row>
    <row r="97" spans="1:12" x14ac:dyDescent="0.3">
      <c r="A97">
        <v>1118</v>
      </c>
      <c r="B97">
        <v>2019</v>
      </c>
      <c r="C97">
        <v>3015</v>
      </c>
      <c r="D97" t="str">
        <f>VLOOKUP('Sales table'!$A:$A,Customers!$A:$H,2,FALSE)</f>
        <v>Jillian Khan</v>
      </c>
      <c r="E97">
        <f>VLOOKUP('Sales table'!$A:$A,Customers!$A:$H,4,FALSE)</f>
        <v>29</v>
      </c>
      <c r="F97" t="str">
        <f>VLOOKUP('Sales table'!$A:$A,Customers!$A:$H,5,FALSE)</f>
        <v>Pune</v>
      </c>
      <c r="G97" t="str">
        <f>VLOOKUP($B:$B,Products!$A:$D,2,FALSE)</f>
        <v>Designer Kurti</v>
      </c>
      <c r="H97" t="str">
        <f>VLOOKUP($B:$B,Products!$A:$D,3,FALSE)</f>
        <v>Clothing</v>
      </c>
      <c r="I97">
        <f>VLOOKUP($B:$B,Products!$A:$D,4,FALSE)</f>
        <v>13620</v>
      </c>
      <c r="J97" s="4">
        <f>VLOOKUP($A:$A,Sales!$B:$H,6,FALSE)</f>
        <v>45591</v>
      </c>
      <c r="K97" s="9">
        <f>VLOOKUP($A:$A,Sales!$B:$H,4,FALSE)</f>
        <v>3</v>
      </c>
      <c r="L97" s="5">
        <f t="shared" si="1"/>
        <v>40860</v>
      </c>
    </row>
    <row r="98" spans="1:12" x14ac:dyDescent="0.3">
      <c r="A98">
        <v>1245</v>
      </c>
      <c r="B98">
        <v>2013</v>
      </c>
      <c r="C98">
        <v>3028</v>
      </c>
      <c r="D98" t="str">
        <f>VLOOKUP('Sales table'!$A:$A,Customers!$A:$H,2,FALSE)</f>
        <v>Donna Wheeler</v>
      </c>
      <c r="E98">
        <f>VLOOKUP('Sales table'!$A:$A,Customers!$A:$H,4,FALSE)</f>
        <v>61</v>
      </c>
      <c r="F98" t="str">
        <f>VLOOKUP('Sales table'!$A:$A,Customers!$A:$H,5,FALSE)</f>
        <v>Hyderabad</v>
      </c>
      <c r="G98" t="str">
        <f>VLOOKUP($B:$B,Products!$A:$D,2,FALSE)</f>
        <v>Silver Coin</v>
      </c>
      <c r="H98" t="str">
        <f>VLOOKUP($B:$B,Products!$A:$D,3,FALSE)</f>
        <v>Precious Items</v>
      </c>
      <c r="I98">
        <f>VLOOKUP($B:$B,Products!$A:$D,4,FALSE)</f>
        <v>11845</v>
      </c>
      <c r="J98" s="4">
        <f>VLOOKUP($A:$A,Sales!$B:$H,6,FALSE)</f>
        <v>45576</v>
      </c>
      <c r="K98" s="9">
        <f>VLOOKUP($A:$A,Sales!$B:$H,4,FALSE)</f>
        <v>4</v>
      </c>
      <c r="L98" s="5">
        <f t="shared" si="1"/>
        <v>47380</v>
      </c>
    </row>
    <row r="99" spans="1:12" x14ac:dyDescent="0.3">
      <c r="A99">
        <v>1225</v>
      </c>
      <c r="B99">
        <v>2001</v>
      </c>
      <c r="C99">
        <v>3005</v>
      </c>
      <c r="D99" t="str">
        <f>VLOOKUP('Sales table'!$A:$A,Customers!$A:$H,2,FALSE)</f>
        <v>Robert Perez</v>
      </c>
      <c r="E99">
        <f>VLOOKUP('Sales table'!$A:$A,Customers!$A:$H,4,FALSE)</f>
        <v>39</v>
      </c>
      <c r="F99" t="str">
        <f>VLOOKUP('Sales table'!$A:$A,Customers!$A:$H,5,FALSE)</f>
        <v>Chennai</v>
      </c>
      <c r="G99" t="str">
        <f>VLOOKUP($B:$B,Products!$A:$D,2,FALSE)</f>
        <v>Sweets Box</v>
      </c>
      <c r="H99" t="str">
        <f>VLOOKUP($B:$B,Products!$A:$D,3,FALSE)</f>
        <v>Sweets &amp; Gifts</v>
      </c>
      <c r="I99">
        <f>VLOOKUP($B:$B,Products!$A:$D,4,FALSE)</f>
        <v>7228</v>
      </c>
      <c r="J99" s="4">
        <f>VLOOKUP($A:$A,Sales!$B:$H,6,FALSE)</f>
        <v>45578</v>
      </c>
      <c r="K99" s="9">
        <f>VLOOKUP($A:$A,Sales!$B:$H,4,FALSE)</f>
        <v>5</v>
      </c>
      <c r="L99" s="5">
        <f t="shared" si="1"/>
        <v>36140</v>
      </c>
    </row>
    <row r="100" spans="1:12" x14ac:dyDescent="0.3">
      <c r="A100">
        <v>1273</v>
      </c>
      <c r="B100">
        <v>2018</v>
      </c>
      <c r="C100">
        <v>3007</v>
      </c>
      <c r="D100" t="str">
        <f>VLOOKUP('Sales table'!$A:$A,Customers!$A:$H,2,FALSE)</f>
        <v>Anthony Mayer</v>
      </c>
      <c r="E100">
        <f>VLOOKUP('Sales table'!$A:$A,Customers!$A:$H,4,FALSE)</f>
        <v>47</v>
      </c>
      <c r="F100" t="str">
        <f>VLOOKUP('Sales table'!$A:$A,Customers!$A:$H,5,FALSE)</f>
        <v>Pune</v>
      </c>
      <c r="G100" t="str">
        <f>VLOOKUP($B:$B,Products!$A:$D,2,FALSE)</f>
        <v>Dry Fruits Pack</v>
      </c>
      <c r="H100" t="str">
        <f>VLOOKUP($B:$B,Products!$A:$D,3,FALSE)</f>
        <v>Sweets &amp; Gifts</v>
      </c>
      <c r="I100">
        <f>VLOOKUP($B:$B,Products!$A:$D,4,FALSE)</f>
        <v>7243</v>
      </c>
      <c r="J100" s="4">
        <f>VLOOKUP($A:$A,Sales!$B:$H,6,FALSE)</f>
        <v>45581</v>
      </c>
      <c r="K100" s="9">
        <f>VLOOKUP($A:$A,Sales!$B:$H,4,FALSE)</f>
        <v>1</v>
      </c>
      <c r="L100" s="5">
        <f t="shared" si="1"/>
        <v>7243</v>
      </c>
    </row>
    <row r="101" spans="1:12" x14ac:dyDescent="0.3">
      <c r="A101">
        <v>1267</v>
      </c>
      <c r="B101">
        <v>2013</v>
      </c>
      <c r="C101">
        <v>3008</v>
      </c>
      <c r="D101" t="str">
        <f>VLOOKUP('Sales table'!$A:$A,Customers!$A:$H,2,FALSE)</f>
        <v>Sharon Cannon</v>
      </c>
      <c r="E101">
        <f>VLOOKUP('Sales table'!$A:$A,Customers!$A:$H,4,FALSE)</f>
        <v>55</v>
      </c>
      <c r="F101" t="str">
        <f>VLOOKUP('Sales table'!$A:$A,Customers!$A:$H,5,FALSE)</f>
        <v>Mumbai</v>
      </c>
      <c r="G101" t="str">
        <f>VLOOKUP($B:$B,Products!$A:$D,2,FALSE)</f>
        <v>Silver Coin</v>
      </c>
      <c r="H101" t="str">
        <f>VLOOKUP($B:$B,Products!$A:$D,3,FALSE)</f>
        <v>Precious Items</v>
      </c>
      <c r="I101">
        <f>VLOOKUP($B:$B,Products!$A:$D,4,FALSE)</f>
        <v>11845</v>
      </c>
      <c r="J101" s="4">
        <f>VLOOKUP($A:$A,Sales!$B:$H,6,FALSE)</f>
        <v>45593</v>
      </c>
      <c r="K101" s="9">
        <f>VLOOKUP($A:$A,Sales!$B:$H,4,FALSE)</f>
        <v>3</v>
      </c>
      <c r="L101" s="5">
        <f t="shared" si="1"/>
        <v>35535</v>
      </c>
    </row>
    <row r="102" spans="1:12" x14ac:dyDescent="0.3">
      <c r="A102">
        <v>1188</v>
      </c>
      <c r="B102">
        <v>2001</v>
      </c>
      <c r="C102">
        <v>3024</v>
      </c>
      <c r="D102" t="str">
        <f>VLOOKUP('Sales table'!$A:$A,Customers!$A:$H,2,FALSE)</f>
        <v>Timothy Graham</v>
      </c>
      <c r="E102">
        <f>VLOOKUP('Sales table'!$A:$A,Customers!$A:$H,4,FALSE)</f>
        <v>33</v>
      </c>
      <c r="F102" t="str">
        <f>VLOOKUP('Sales table'!$A:$A,Customers!$A:$H,5,FALSE)</f>
        <v>Kolkata</v>
      </c>
      <c r="G102" t="str">
        <f>VLOOKUP($B:$B,Products!$A:$D,2,FALSE)</f>
        <v>Sweets Box</v>
      </c>
      <c r="H102" t="str">
        <f>VLOOKUP($B:$B,Products!$A:$D,3,FALSE)</f>
        <v>Sweets &amp; Gifts</v>
      </c>
      <c r="I102">
        <f>VLOOKUP($B:$B,Products!$A:$D,4,FALSE)</f>
        <v>7228</v>
      </c>
      <c r="J102" s="4">
        <f>VLOOKUP($A:$A,Sales!$B:$H,6,FALSE)</f>
        <v>45581</v>
      </c>
      <c r="K102" s="9">
        <f>VLOOKUP($A:$A,Sales!$B:$H,4,FALSE)</f>
        <v>3</v>
      </c>
      <c r="L102" s="5">
        <f t="shared" si="1"/>
        <v>21684</v>
      </c>
    </row>
    <row r="103" spans="1:12" x14ac:dyDescent="0.3">
      <c r="A103">
        <v>1012</v>
      </c>
      <c r="B103">
        <v>2016</v>
      </c>
      <c r="C103">
        <v>3021</v>
      </c>
      <c r="D103" t="str">
        <f>VLOOKUP('Sales table'!$A:$A,Customers!$A:$H,2,FALSE)</f>
        <v>John Dunlap</v>
      </c>
      <c r="E103">
        <f>VLOOKUP('Sales table'!$A:$A,Customers!$A:$H,4,FALSE)</f>
        <v>52</v>
      </c>
      <c r="F103" t="str">
        <f>VLOOKUP('Sales table'!$A:$A,Customers!$A:$H,5,FALSE)</f>
        <v>Delhi</v>
      </c>
      <c r="G103" t="str">
        <f>VLOOKUP($B:$B,Products!$A:$D,2,FALSE)</f>
        <v>Fairy Lights</v>
      </c>
      <c r="H103" t="str">
        <f>VLOOKUP($B:$B,Products!$A:$D,3,FALSE)</f>
        <v>Home Decor</v>
      </c>
      <c r="I103">
        <f>VLOOKUP($B:$B,Products!$A:$D,4,FALSE)</f>
        <v>12242</v>
      </c>
      <c r="J103" s="4">
        <f>VLOOKUP($A:$A,Sales!$B:$H,6,FALSE)</f>
        <v>45601</v>
      </c>
      <c r="K103" s="9">
        <f>VLOOKUP($A:$A,Sales!$B:$H,4,FALSE)</f>
        <v>2</v>
      </c>
      <c r="L103" s="5">
        <f t="shared" si="1"/>
        <v>24484</v>
      </c>
    </row>
    <row r="104" spans="1:12" x14ac:dyDescent="0.3">
      <c r="A104">
        <v>1025</v>
      </c>
      <c r="B104">
        <v>2022</v>
      </c>
      <c r="C104">
        <v>3002</v>
      </c>
      <c r="D104" t="str">
        <f>VLOOKUP('Sales table'!$A:$A,Customers!$A:$H,2,FALSE)</f>
        <v>Susan Wheeler</v>
      </c>
      <c r="E104">
        <f>VLOOKUP('Sales table'!$A:$A,Customers!$A:$H,4,FALSE)</f>
        <v>36</v>
      </c>
      <c r="F104" t="str">
        <f>VLOOKUP('Sales table'!$A:$A,Customers!$A:$H,5,FALSE)</f>
        <v>Kolkata</v>
      </c>
      <c r="G104" t="str">
        <f>VLOOKUP($B:$B,Products!$A:$D,2,FALSE)</f>
        <v>Home Decor Statue</v>
      </c>
      <c r="H104" t="str">
        <f>VLOOKUP($B:$B,Products!$A:$D,3,FALSE)</f>
        <v>Home Decor</v>
      </c>
      <c r="I104">
        <f>VLOOKUP($B:$B,Products!$A:$D,4,FALSE)</f>
        <v>17149</v>
      </c>
      <c r="J104" s="4">
        <f>VLOOKUP($A:$A,Sales!$B:$H,6,FALSE)</f>
        <v>45591</v>
      </c>
      <c r="K104" s="9">
        <f>VLOOKUP($A:$A,Sales!$B:$H,4,FALSE)</f>
        <v>2</v>
      </c>
      <c r="L104" s="5">
        <f t="shared" si="1"/>
        <v>34298</v>
      </c>
    </row>
    <row r="105" spans="1:12" x14ac:dyDescent="0.3">
      <c r="A105">
        <v>1115</v>
      </c>
      <c r="B105">
        <v>2018</v>
      </c>
      <c r="C105">
        <v>3015</v>
      </c>
      <c r="D105" t="str">
        <f>VLOOKUP('Sales table'!$A:$A,Customers!$A:$H,2,FALSE)</f>
        <v>Valerie Winters</v>
      </c>
      <c r="E105">
        <f>VLOOKUP('Sales table'!$A:$A,Customers!$A:$H,4,FALSE)</f>
        <v>61</v>
      </c>
      <c r="F105" t="str">
        <f>VLOOKUP('Sales table'!$A:$A,Customers!$A:$H,5,FALSE)</f>
        <v>Delhi</v>
      </c>
      <c r="G105" t="str">
        <f>VLOOKUP($B:$B,Products!$A:$D,2,FALSE)</f>
        <v>Dry Fruits Pack</v>
      </c>
      <c r="H105" t="str">
        <f>VLOOKUP($B:$B,Products!$A:$D,3,FALSE)</f>
        <v>Sweets &amp; Gifts</v>
      </c>
      <c r="I105">
        <f>VLOOKUP($B:$B,Products!$A:$D,4,FALSE)</f>
        <v>7243</v>
      </c>
      <c r="J105" s="4">
        <f>VLOOKUP($A:$A,Sales!$B:$H,6,FALSE)</f>
        <v>45593</v>
      </c>
      <c r="K105" s="9">
        <f>VLOOKUP($A:$A,Sales!$B:$H,4,FALSE)</f>
        <v>4</v>
      </c>
      <c r="L105" s="5">
        <f t="shared" si="1"/>
        <v>28972</v>
      </c>
    </row>
    <row r="106" spans="1:12" x14ac:dyDescent="0.3">
      <c r="A106">
        <v>1046</v>
      </c>
      <c r="B106">
        <v>2004</v>
      </c>
      <c r="C106">
        <v>3020</v>
      </c>
      <c r="D106" t="str">
        <f>VLOOKUP('Sales table'!$A:$A,Customers!$A:$H,2,FALSE)</f>
        <v>Leslie Little</v>
      </c>
      <c r="E106">
        <f>VLOOKUP('Sales table'!$A:$A,Customers!$A:$H,4,FALSE)</f>
        <v>34</v>
      </c>
      <c r="F106" t="str">
        <f>VLOOKUP('Sales table'!$A:$A,Customers!$A:$H,5,FALSE)</f>
        <v>Chennai</v>
      </c>
      <c r="G106" t="str">
        <f>VLOOKUP($B:$B,Products!$A:$D,2,FALSE)</f>
        <v>Smartphone</v>
      </c>
      <c r="H106" t="str">
        <f>VLOOKUP($B:$B,Products!$A:$D,3,FALSE)</f>
        <v>Electronics</v>
      </c>
      <c r="I106">
        <f>VLOOKUP($B:$B,Products!$A:$D,4,FALSE)</f>
        <v>4952</v>
      </c>
      <c r="J106" s="4">
        <f>VLOOKUP($A:$A,Sales!$B:$H,6,FALSE)</f>
        <v>45610</v>
      </c>
      <c r="K106" s="9">
        <f>VLOOKUP($A:$A,Sales!$B:$H,4,FALSE)</f>
        <v>5</v>
      </c>
      <c r="L106" s="5">
        <f t="shared" si="1"/>
        <v>24760</v>
      </c>
    </row>
    <row r="107" spans="1:12" x14ac:dyDescent="0.3">
      <c r="A107">
        <v>1084</v>
      </c>
      <c r="B107">
        <v>2025</v>
      </c>
      <c r="C107">
        <v>3001</v>
      </c>
      <c r="D107" t="str">
        <f>VLOOKUP('Sales table'!$A:$A,Customers!$A:$H,2,FALSE)</f>
        <v>Sharon Baker</v>
      </c>
      <c r="E107">
        <f>VLOOKUP('Sales table'!$A:$A,Customers!$A:$H,4,FALSE)</f>
        <v>48</v>
      </c>
      <c r="F107" t="str">
        <f>VLOOKUP('Sales table'!$A:$A,Customers!$A:$H,5,FALSE)</f>
        <v>Chennai</v>
      </c>
      <c r="G107" t="str">
        <f>VLOOKUP($B:$B,Products!$A:$D,2,FALSE)</f>
        <v>Handbag</v>
      </c>
      <c r="H107" t="str">
        <f>VLOOKUP($B:$B,Products!$A:$D,3,FALSE)</f>
        <v>Accessories</v>
      </c>
      <c r="I107">
        <f>VLOOKUP($B:$B,Products!$A:$D,4,FALSE)</f>
        <v>17019</v>
      </c>
      <c r="J107" s="4">
        <f>VLOOKUP($A:$A,Sales!$B:$H,6,FALSE)</f>
        <v>45613</v>
      </c>
      <c r="K107" s="9">
        <f>VLOOKUP($A:$A,Sales!$B:$H,4,FALSE)</f>
        <v>2</v>
      </c>
      <c r="L107" s="5">
        <f t="shared" si="1"/>
        <v>34038</v>
      </c>
    </row>
    <row r="108" spans="1:12" x14ac:dyDescent="0.3">
      <c r="A108">
        <v>1099</v>
      </c>
      <c r="B108">
        <v>2006</v>
      </c>
      <c r="C108">
        <v>3035</v>
      </c>
      <c r="D108" t="str">
        <f>VLOOKUP('Sales table'!$A:$A,Customers!$A:$H,2,FALSE)</f>
        <v>Paul Chan</v>
      </c>
      <c r="E108">
        <f>VLOOKUP('Sales table'!$A:$A,Customers!$A:$H,4,FALSE)</f>
        <v>62</v>
      </c>
      <c r="F108" t="str">
        <f>VLOOKUP('Sales table'!$A:$A,Customers!$A:$H,5,FALSE)</f>
        <v>Hyderabad</v>
      </c>
      <c r="G108" t="str">
        <f>VLOOKUP($B:$B,Products!$A:$D,2,FALSE)</f>
        <v>Crackers Pack</v>
      </c>
      <c r="H108" t="str">
        <f>VLOOKUP($B:$B,Products!$A:$D,3,FALSE)</f>
        <v>Crackers</v>
      </c>
      <c r="I108">
        <f>VLOOKUP($B:$B,Products!$A:$D,4,FALSE)</f>
        <v>12060</v>
      </c>
      <c r="J108" s="4">
        <f>VLOOKUP($A:$A,Sales!$B:$H,6,FALSE)</f>
        <v>45601</v>
      </c>
      <c r="K108" s="9">
        <f>VLOOKUP($A:$A,Sales!$B:$H,4,FALSE)</f>
        <v>5</v>
      </c>
      <c r="L108" s="5">
        <f t="shared" si="1"/>
        <v>60300</v>
      </c>
    </row>
    <row r="109" spans="1:12" x14ac:dyDescent="0.3">
      <c r="A109">
        <v>1059</v>
      </c>
      <c r="B109">
        <v>2021</v>
      </c>
      <c r="C109">
        <v>3014</v>
      </c>
      <c r="D109" t="str">
        <f>VLOOKUP('Sales table'!$A:$A,Customers!$A:$H,2,FALSE)</f>
        <v>Cynthia Johnson</v>
      </c>
      <c r="E109">
        <f>VLOOKUP('Sales table'!$A:$A,Customers!$A:$H,4,FALSE)</f>
        <v>44</v>
      </c>
      <c r="F109" t="str">
        <f>VLOOKUP('Sales table'!$A:$A,Customers!$A:$H,5,FALSE)</f>
        <v>Bangalore</v>
      </c>
      <c r="G109" t="str">
        <f>VLOOKUP($B:$B,Products!$A:$D,2,FALSE)</f>
        <v>Smartwatch</v>
      </c>
      <c r="H109" t="str">
        <f>VLOOKUP($B:$B,Products!$A:$D,3,FALSE)</f>
        <v>Electronics</v>
      </c>
      <c r="I109">
        <f>VLOOKUP($B:$B,Products!$A:$D,4,FALSE)</f>
        <v>17586</v>
      </c>
      <c r="J109" s="4">
        <f>VLOOKUP($A:$A,Sales!$B:$H,6,FALSE)</f>
        <v>45612</v>
      </c>
      <c r="K109" s="9">
        <f>VLOOKUP($A:$A,Sales!$B:$H,4,FALSE)</f>
        <v>2</v>
      </c>
      <c r="L109" s="5">
        <f t="shared" si="1"/>
        <v>35172</v>
      </c>
    </row>
    <row r="110" spans="1:12" x14ac:dyDescent="0.3">
      <c r="A110">
        <v>1159</v>
      </c>
      <c r="B110">
        <v>2021</v>
      </c>
      <c r="C110">
        <v>3016</v>
      </c>
      <c r="D110" t="str">
        <f>VLOOKUP('Sales table'!$A:$A,Customers!$A:$H,2,FALSE)</f>
        <v>William Smith</v>
      </c>
      <c r="E110">
        <f>VLOOKUP('Sales table'!$A:$A,Customers!$A:$H,4,FALSE)</f>
        <v>65</v>
      </c>
      <c r="F110" t="str">
        <f>VLOOKUP('Sales table'!$A:$A,Customers!$A:$H,5,FALSE)</f>
        <v>Mumbai</v>
      </c>
      <c r="G110" t="str">
        <f>VLOOKUP($B:$B,Products!$A:$D,2,FALSE)</f>
        <v>Smartwatch</v>
      </c>
      <c r="H110" t="str">
        <f>VLOOKUP($B:$B,Products!$A:$D,3,FALSE)</f>
        <v>Electronics</v>
      </c>
      <c r="I110">
        <f>VLOOKUP($B:$B,Products!$A:$D,4,FALSE)</f>
        <v>17586</v>
      </c>
      <c r="J110" s="4">
        <f>VLOOKUP($A:$A,Sales!$B:$H,6,FALSE)</f>
        <v>45606</v>
      </c>
      <c r="K110" s="9">
        <f>VLOOKUP($A:$A,Sales!$B:$H,4,FALSE)</f>
        <v>2</v>
      </c>
      <c r="L110" s="5">
        <f t="shared" si="1"/>
        <v>35172</v>
      </c>
    </row>
    <row r="111" spans="1:12" x14ac:dyDescent="0.3">
      <c r="A111">
        <v>1134</v>
      </c>
      <c r="B111">
        <v>2013</v>
      </c>
      <c r="C111">
        <v>3031</v>
      </c>
      <c r="D111" t="str">
        <f>VLOOKUP('Sales table'!$A:$A,Customers!$A:$H,2,FALSE)</f>
        <v>Bobby Neal</v>
      </c>
      <c r="E111">
        <f>VLOOKUP('Sales table'!$A:$A,Customers!$A:$H,4,FALSE)</f>
        <v>61</v>
      </c>
      <c r="F111" t="str">
        <f>VLOOKUP('Sales table'!$A:$A,Customers!$A:$H,5,FALSE)</f>
        <v>Kolkata</v>
      </c>
      <c r="G111" t="str">
        <f>VLOOKUP($B:$B,Products!$A:$D,2,FALSE)</f>
        <v>Silver Coin</v>
      </c>
      <c r="H111" t="str">
        <f>VLOOKUP($B:$B,Products!$A:$D,3,FALSE)</f>
        <v>Precious Items</v>
      </c>
      <c r="I111">
        <f>VLOOKUP($B:$B,Products!$A:$D,4,FALSE)</f>
        <v>11845</v>
      </c>
      <c r="J111" s="4">
        <f>VLOOKUP($A:$A,Sales!$B:$H,6,FALSE)</f>
        <v>45612</v>
      </c>
      <c r="K111" s="9">
        <f>VLOOKUP($A:$A,Sales!$B:$H,4,FALSE)</f>
        <v>1</v>
      </c>
      <c r="L111" s="5">
        <f t="shared" si="1"/>
        <v>11845</v>
      </c>
    </row>
    <row r="112" spans="1:12" x14ac:dyDescent="0.3">
      <c r="A112">
        <v>1258</v>
      </c>
      <c r="B112">
        <v>2015</v>
      </c>
      <c r="C112">
        <v>3028</v>
      </c>
      <c r="D112" t="str">
        <f>VLOOKUP('Sales table'!$A:$A,Customers!$A:$H,2,FALSE)</f>
        <v>Corey Lewis</v>
      </c>
      <c r="E112">
        <f>VLOOKUP('Sales table'!$A:$A,Customers!$A:$H,4,FALSE)</f>
        <v>39</v>
      </c>
      <c r="F112" t="str">
        <f>VLOOKUP('Sales table'!$A:$A,Customers!$A:$H,5,FALSE)</f>
        <v>Delhi</v>
      </c>
      <c r="G112" t="str">
        <f>VLOOKUP($B:$B,Products!$A:$D,2,FALSE)</f>
        <v>Candle Set</v>
      </c>
      <c r="H112" t="str">
        <f>VLOOKUP($B:$B,Products!$A:$D,3,FALSE)</f>
        <v>Home Decor</v>
      </c>
      <c r="I112">
        <f>VLOOKUP($B:$B,Products!$A:$D,4,FALSE)</f>
        <v>17604</v>
      </c>
      <c r="J112" s="4">
        <f>VLOOKUP($A:$A,Sales!$B:$H,6,FALSE)</f>
        <v>45599</v>
      </c>
      <c r="K112" s="9">
        <f>VLOOKUP($A:$A,Sales!$B:$H,4,FALSE)</f>
        <v>2</v>
      </c>
      <c r="L112" s="5">
        <f t="shared" si="1"/>
        <v>35208</v>
      </c>
    </row>
    <row r="113" spans="1:12" x14ac:dyDescent="0.3">
      <c r="A113">
        <v>1265</v>
      </c>
      <c r="B113">
        <v>2011</v>
      </c>
      <c r="C113">
        <v>3014</v>
      </c>
      <c r="D113" t="str">
        <f>VLOOKUP('Sales table'!$A:$A,Customers!$A:$H,2,FALSE)</f>
        <v>Cynthia Chen</v>
      </c>
      <c r="E113">
        <f>VLOOKUP('Sales table'!$A:$A,Customers!$A:$H,4,FALSE)</f>
        <v>30</v>
      </c>
      <c r="F113" t="str">
        <f>VLOOKUP('Sales table'!$A:$A,Customers!$A:$H,5,FALSE)</f>
        <v>Mumbai</v>
      </c>
      <c r="G113" t="str">
        <f>VLOOKUP($B:$B,Products!$A:$D,2,FALSE)</f>
        <v>Festive Thali</v>
      </c>
      <c r="H113" t="str">
        <f>VLOOKUP($B:$B,Products!$A:$D,3,FALSE)</f>
        <v>Other</v>
      </c>
      <c r="I113">
        <f>VLOOKUP($B:$B,Products!$A:$D,4,FALSE)</f>
        <v>7481</v>
      </c>
      <c r="J113" s="4">
        <f>VLOOKUP($A:$A,Sales!$B:$H,6,FALSE)</f>
        <v>45602</v>
      </c>
      <c r="K113" s="9">
        <f>VLOOKUP($A:$A,Sales!$B:$H,4,FALSE)</f>
        <v>2</v>
      </c>
      <c r="L113" s="5">
        <f t="shared" si="1"/>
        <v>14962</v>
      </c>
    </row>
    <row r="114" spans="1:12" x14ac:dyDescent="0.3">
      <c r="A114">
        <v>1146</v>
      </c>
      <c r="B114">
        <v>2018</v>
      </c>
      <c r="C114">
        <v>3029</v>
      </c>
      <c r="D114" t="str">
        <f>VLOOKUP('Sales table'!$A:$A,Customers!$A:$H,2,FALSE)</f>
        <v>Angela Martin</v>
      </c>
      <c r="E114">
        <f>VLOOKUP('Sales table'!$A:$A,Customers!$A:$H,4,FALSE)</f>
        <v>61</v>
      </c>
      <c r="F114" t="str">
        <f>VLOOKUP('Sales table'!$A:$A,Customers!$A:$H,5,FALSE)</f>
        <v>Bangalore</v>
      </c>
      <c r="G114" t="str">
        <f>VLOOKUP($B:$B,Products!$A:$D,2,FALSE)</f>
        <v>Dry Fruits Pack</v>
      </c>
      <c r="H114" t="str">
        <f>VLOOKUP($B:$B,Products!$A:$D,3,FALSE)</f>
        <v>Sweets &amp; Gifts</v>
      </c>
      <c r="I114">
        <f>VLOOKUP($B:$B,Products!$A:$D,4,FALSE)</f>
        <v>7243</v>
      </c>
      <c r="J114" s="4">
        <f>VLOOKUP($A:$A,Sales!$B:$H,6,FALSE)</f>
        <v>45608</v>
      </c>
      <c r="K114" s="9">
        <f>VLOOKUP($A:$A,Sales!$B:$H,4,FALSE)</f>
        <v>1</v>
      </c>
      <c r="L114" s="5">
        <f t="shared" si="1"/>
        <v>7243</v>
      </c>
    </row>
    <row r="115" spans="1:12" x14ac:dyDescent="0.3">
      <c r="A115">
        <v>1087</v>
      </c>
      <c r="B115">
        <v>2010</v>
      </c>
      <c r="C115">
        <v>3020</v>
      </c>
      <c r="D115" t="str">
        <f>VLOOKUP('Sales table'!$A:$A,Customers!$A:$H,2,FALSE)</f>
        <v>Jared Romero</v>
      </c>
      <c r="E115">
        <f>VLOOKUP('Sales table'!$A:$A,Customers!$A:$H,4,FALSE)</f>
        <v>26</v>
      </c>
      <c r="F115" t="str">
        <f>VLOOKUP('Sales table'!$A:$A,Customers!$A:$H,5,FALSE)</f>
        <v>Hyderabad</v>
      </c>
      <c r="G115" t="str">
        <f>VLOOKUP($B:$B,Products!$A:$D,2,FALSE)</f>
        <v>Chocolate Box</v>
      </c>
      <c r="H115" t="str">
        <f>VLOOKUP($B:$B,Products!$A:$D,3,FALSE)</f>
        <v>Sweets &amp; Gifts</v>
      </c>
      <c r="I115">
        <f>VLOOKUP($B:$B,Products!$A:$D,4,FALSE)</f>
        <v>17909</v>
      </c>
      <c r="J115" s="4">
        <f>VLOOKUP($A:$A,Sales!$B:$H,6,FALSE)</f>
        <v>45601</v>
      </c>
      <c r="K115" s="9">
        <f>VLOOKUP($A:$A,Sales!$B:$H,4,FALSE)</f>
        <v>5</v>
      </c>
      <c r="L115" s="5">
        <f t="shared" si="1"/>
        <v>89545</v>
      </c>
    </row>
    <row r="116" spans="1:12" x14ac:dyDescent="0.3">
      <c r="A116">
        <v>1055</v>
      </c>
      <c r="B116">
        <v>2009</v>
      </c>
      <c r="C116">
        <v>3022</v>
      </c>
      <c r="D116" t="str">
        <f>VLOOKUP('Sales table'!$A:$A,Customers!$A:$H,2,FALSE)</f>
        <v>Tina Armstrong</v>
      </c>
      <c r="E116">
        <f>VLOOKUP('Sales table'!$A:$A,Customers!$A:$H,4,FALSE)</f>
        <v>44</v>
      </c>
      <c r="F116" t="str">
        <f>VLOOKUP('Sales table'!$A:$A,Customers!$A:$H,5,FALSE)</f>
        <v>Mumbai</v>
      </c>
      <c r="G116" t="str">
        <f>VLOOKUP($B:$B,Products!$A:$D,2,FALSE)</f>
        <v>Bluetooth Speaker</v>
      </c>
      <c r="H116" t="str">
        <f>VLOOKUP($B:$B,Products!$A:$D,3,FALSE)</f>
        <v>Electronics</v>
      </c>
      <c r="I116">
        <f>VLOOKUP($B:$B,Products!$A:$D,4,FALSE)</f>
        <v>11047</v>
      </c>
      <c r="J116" s="4">
        <f>VLOOKUP($A:$A,Sales!$B:$H,6,FALSE)</f>
        <v>45582</v>
      </c>
      <c r="K116" s="9">
        <f>VLOOKUP($A:$A,Sales!$B:$H,4,FALSE)</f>
        <v>1</v>
      </c>
      <c r="L116" s="5">
        <f t="shared" si="1"/>
        <v>11047</v>
      </c>
    </row>
    <row r="117" spans="1:12" x14ac:dyDescent="0.3">
      <c r="A117">
        <v>1052</v>
      </c>
      <c r="B117">
        <v>2022</v>
      </c>
      <c r="C117">
        <v>3034</v>
      </c>
      <c r="D117" t="str">
        <f>VLOOKUP('Sales table'!$A:$A,Customers!$A:$H,2,FALSE)</f>
        <v>Kristin Ayers</v>
      </c>
      <c r="E117">
        <f>VLOOKUP('Sales table'!$A:$A,Customers!$A:$H,4,FALSE)</f>
        <v>38</v>
      </c>
      <c r="F117" t="str">
        <f>VLOOKUP('Sales table'!$A:$A,Customers!$A:$H,5,FALSE)</f>
        <v>Bangalore</v>
      </c>
      <c r="G117" t="str">
        <f>VLOOKUP($B:$B,Products!$A:$D,2,FALSE)</f>
        <v>Home Decor Statue</v>
      </c>
      <c r="H117" t="str">
        <f>VLOOKUP($B:$B,Products!$A:$D,3,FALSE)</f>
        <v>Home Decor</v>
      </c>
      <c r="I117">
        <f>VLOOKUP($B:$B,Products!$A:$D,4,FALSE)</f>
        <v>17149</v>
      </c>
      <c r="J117" s="4">
        <f>VLOOKUP($A:$A,Sales!$B:$H,6,FALSE)</f>
        <v>45613</v>
      </c>
      <c r="K117" s="9">
        <f>VLOOKUP($A:$A,Sales!$B:$H,4,FALSE)</f>
        <v>1</v>
      </c>
      <c r="L117" s="5">
        <f t="shared" si="1"/>
        <v>17149</v>
      </c>
    </row>
    <row r="118" spans="1:12" x14ac:dyDescent="0.3">
      <c r="A118">
        <v>1220</v>
      </c>
      <c r="B118">
        <v>2006</v>
      </c>
      <c r="C118">
        <v>3001</v>
      </c>
      <c r="D118" t="str">
        <f>VLOOKUP('Sales table'!$A:$A,Customers!$A:$H,2,FALSE)</f>
        <v>Desiree Reed</v>
      </c>
      <c r="E118">
        <f>VLOOKUP('Sales table'!$A:$A,Customers!$A:$H,4,FALSE)</f>
        <v>29</v>
      </c>
      <c r="F118" t="str">
        <f>VLOOKUP('Sales table'!$A:$A,Customers!$A:$H,5,FALSE)</f>
        <v>Hyderabad</v>
      </c>
      <c r="G118" t="str">
        <f>VLOOKUP($B:$B,Products!$A:$D,2,FALSE)</f>
        <v>Crackers Pack</v>
      </c>
      <c r="H118" t="str">
        <f>VLOOKUP($B:$B,Products!$A:$D,3,FALSE)</f>
        <v>Crackers</v>
      </c>
      <c r="I118">
        <f>VLOOKUP($B:$B,Products!$A:$D,4,FALSE)</f>
        <v>12060</v>
      </c>
      <c r="J118" s="4">
        <f>VLOOKUP($A:$A,Sales!$B:$H,6,FALSE)</f>
        <v>45608</v>
      </c>
      <c r="K118" s="9">
        <f>VLOOKUP($A:$A,Sales!$B:$H,4,FALSE)</f>
        <v>2</v>
      </c>
      <c r="L118" s="5">
        <f t="shared" si="1"/>
        <v>24120</v>
      </c>
    </row>
    <row r="119" spans="1:12" x14ac:dyDescent="0.3">
      <c r="A119">
        <v>1120</v>
      </c>
      <c r="B119">
        <v>2005</v>
      </c>
      <c r="C119">
        <v>3012</v>
      </c>
      <c r="D119" t="str">
        <f>VLOOKUP('Sales table'!$A:$A,Customers!$A:$H,2,FALSE)</f>
        <v>Tracey Gibson</v>
      </c>
      <c r="E119">
        <f>VLOOKUP('Sales table'!$A:$A,Customers!$A:$H,4,FALSE)</f>
        <v>57</v>
      </c>
      <c r="F119" t="str">
        <f>VLOOKUP('Sales table'!$A:$A,Customers!$A:$H,5,FALSE)</f>
        <v>Mumbai</v>
      </c>
      <c r="G119" t="str">
        <f>VLOOKUP($B:$B,Products!$A:$D,2,FALSE)</f>
        <v>LED Lamp</v>
      </c>
      <c r="H119" t="str">
        <f>VLOOKUP($B:$B,Products!$A:$D,3,FALSE)</f>
        <v>Home Decor</v>
      </c>
      <c r="I119">
        <f>VLOOKUP($B:$B,Products!$A:$D,4,FALSE)</f>
        <v>3828</v>
      </c>
      <c r="J119" s="4">
        <f>VLOOKUP($A:$A,Sales!$B:$H,6,FALSE)</f>
        <v>45615</v>
      </c>
      <c r="K119" s="9">
        <f>VLOOKUP($A:$A,Sales!$B:$H,4,FALSE)</f>
        <v>4</v>
      </c>
      <c r="L119" s="5">
        <f t="shared" si="1"/>
        <v>15312</v>
      </c>
    </row>
    <row r="120" spans="1:12" x14ac:dyDescent="0.3">
      <c r="A120">
        <v>1142</v>
      </c>
      <c r="B120">
        <v>2011</v>
      </c>
      <c r="C120">
        <v>3007</v>
      </c>
      <c r="D120" t="str">
        <f>VLOOKUP('Sales table'!$A:$A,Customers!$A:$H,2,FALSE)</f>
        <v>Derek Coffey</v>
      </c>
      <c r="E120">
        <f>VLOOKUP('Sales table'!$A:$A,Customers!$A:$H,4,FALSE)</f>
        <v>21</v>
      </c>
      <c r="F120" t="str">
        <f>VLOOKUP('Sales table'!$A:$A,Customers!$A:$H,5,FALSE)</f>
        <v>Chennai</v>
      </c>
      <c r="G120" t="str">
        <f>VLOOKUP($B:$B,Products!$A:$D,2,FALSE)</f>
        <v>Festive Thali</v>
      </c>
      <c r="H120" t="str">
        <f>VLOOKUP($B:$B,Products!$A:$D,3,FALSE)</f>
        <v>Other</v>
      </c>
      <c r="I120">
        <f>VLOOKUP($B:$B,Products!$A:$D,4,FALSE)</f>
        <v>7481</v>
      </c>
      <c r="J120" s="4">
        <f>VLOOKUP($A:$A,Sales!$B:$H,6,FALSE)</f>
        <v>45585</v>
      </c>
      <c r="K120" s="9">
        <f>VLOOKUP($A:$A,Sales!$B:$H,4,FALSE)</f>
        <v>5</v>
      </c>
      <c r="L120" s="5">
        <f t="shared" si="1"/>
        <v>37405</v>
      </c>
    </row>
    <row r="121" spans="1:12" x14ac:dyDescent="0.3">
      <c r="A121">
        <v>1014</v>
      </c>
      <c r="B121">
        <v>2001</v>
      </c>
      <c r="C121">
        <v>3007</v>
      </c>
      <c r="D121" t="str">
        <f>VLOOKUP('Sales table'!$A:$A,Customers!$A:$H,2,FALSE)</f>
        <v>Gregory Maddox</v>
      </c>
      <c r="E121">
        <f>VLOOKUP('Sales table'!$A:$A,Customers!$A:$H,4,FALSE)</f>
        <v>47</v>
      </c>
      <c r="F121" t="str">
        <f>VLOOKUP('Sales table'!$A:$A,Customers!$A:$H,5,FALSE)</f>
        <v>Mumbai</v>
      </c>
      <c r="G121" t="str">
        <f>VLOOKUP($B:$B,Products!$A:$D,2,FALSE)</f>
        <v>Sweets Box</v>
      </c>
      <c r="H121" t="str">
        <f>VLOOKUP($B:$B,Products!$A:$D,3,FALSE)</f>
        <v>Sweets &amp; Gifts</v>
      </c>
      <c r="I121">
        <f>VLOOKUP($B:$B,Products!$A:$D,4,FALSE)</f>
        <v>7228</v>
      </c>
      <c r="J121" s="4">
        <f>VLOOKUP($A:$A,Sales!$B:$H,6,FALSE)</f>
        <v>45582</v>
      </c>
      <c r="K121" s="9">
        <f>VLOOKUP($A:$A,Sales!$B:$H,4,FALSE)</f>
        <v>3</v>
      </c>
      <c r="L121" s="5">
        <f t="shared" si="1"/>
        <v>21684</v>
      </c>
    </row>
    <row r="122" spans="1:12" x14ac:dyDescent="0.3">
      <c r="A122">
        <v>1231</v>
      </c>
      <c r="B122">
        <v>2004</v>
      </c>
      <c r="C122">
        <v>3009</v>
      </c>
      <c r="D122" t="str">
        <f>VLOOKUP('Sales table'!$A:$A,Customers!$A:$H,2,FALSE)</f>
        <v>William Campbell</v>
      </c>
      <c r="E122">
        <f>VLOOKUP('Sales table'!$A:$A,Customers!$A:$H,4,FALSE)</f>
        <v>37</v>
      </c>
      <c r="F122" t="str">
        <f>VLOOKUP('Sales table'!$A:$A,Customers!$A:$H,5,FALSE)</f>
        <v>Hyderabad</v>
      </c>
      <c r="G122" t="str">
        <f>VLOOKUP($B:$B,Products!$A:$D,2,FALSE)</f>
        <v>Smartphone</v>
      </c>
      <c r="H122" t="str">
        <f>VLOOKUP($B:$B,Products!$A:$D,3,FALSE)</f>
        <v>Electronics</v>
      </c>
      <c r="I122">
        <f>VLOOKUP($B:$B,Products!$A:$D,4,FALSE)</f>
        <v>4952</v>
      </c>
      <c r="J122" s="4">
        <f>VLOOKUP($A:$A,Sales!$B:$H,6,FALSE)</f>
        <v>45606</v>
      </c>
      <c r="K122" s="9">
        <f>VLOOKUP($A:$A,Sales!$B:$H,4,FALSE)</f>
        <v>3</v>
      </c>
      <c r="L122" s="5">
        <f t="shared" si="1"/>
        <v>14856</v>
      </c>
    </row>
    <row r="123" spans="1:12" x14ac:dyDescent="0.3">
      <c r="A123">
        <v>1007</v>
      </c>
      <c r="B123">
        <v>2024</v>
      </c>
      <c r="C123">
        <v>3004</v>
      </c>
      <c r="D123" t="str">
        <f>VLOOKUP('Sales table'!$A:$A,Customers!$A:$H,2,FALSE)</f>
        <v>Daniel Quinn</v>
      </c>
      <c r="E123">
        <f>VLOOKUP('Sales table'!$A:$A,Customers!$A:$H,4,FALSE)</f>
        <v>40</v>
      </c>
      <c r="F123" t="str">
        <f>VLOOKUP('Sales table'!$A:$A,Customers!$A:$H,5,FALSE)</f>
        <v>Pune</v>
      </c>
      <c r="G123" t="str">
        <f>VLOOKUP($B:$B,Products!$A:$D,2,FALSE)</f>
        <v>Perfume Gift Set</v>
      </c>
      <c r="H123" t="str">
        <f>VLOOKUP($B:$B,Products!$A:$D,3,FALSE)</f>
        <v>Accessories</v>
      </c>
      <c r="I123">
        <f>VLOOKUP($B:$B,Products!$A:$D,4,FALSE)</f>
        <v>16272</v>
      </c>
      <c r="J123" s="4">
        <f>VLOOKUP($A:$A,Sales!$B:$H,6,FALSE)</f>
        <v>45593</v>
      </c>
      <c r="K123" s="9">
        <f>VLOOKUP($A:$A,Sales!$B:$H,4,FALSE)</f>
        <v>2</v>
      </c>
      <c r="L123" s="5">
        <f t="shared" si="1"/>
        <v>32544</v>
      </c>
    </row>
    <row r="124" spans="1:12" x14ac:dyDescent="0.3">
      <c r="A124">
        <v>1129</v>
      </c>
      <c r="B124">
        <v>2017</v>
      </c>
      <c r="C124">
        <v>3014</v>
      </c>
      <c r="D124" t="str">
        <f>VLOOKUP('Sales table'!$A:$A,Customers!$A:$H,2,FALSE)</f>
        <v>Christopher Wagner</v>
      </c>
      <c r="E124">
        <f>VLOOKUP('Sales table'!$A:$A,Customers!$A:$H,4,FALSE)</f>
        <v>60</v>
      </c>
      <c r="F124" t="str">
        <f>VLOOKUP('Sales table'!$A:$A,Customers!$A:$H,5,FALSE)</f>
        <v>Hyderabad</v>
      </c>
      <c r="G124" t="str">
        <f>VLOOKUP($B:$B,Products!$A:$D,2,FALSE)</f>
        <v>Handmade Pottery</v>
      </c>
      <c r="H124" t="str">
        <f>VLOOKUP($B:$B,Products!$A:$D,3,FALSE)</f>
        <v>Home Decor</v>
      </c>
      <c r="I124">
        <f>VLOOKUP($B:$B,Products!$A:$D,4,FALSE)</f>
        <v>8186</v>
      </c>
      <c r="J124" s="4">
        <f>VLOOKUP($A:$A,Sales!$B:$H,6,FALSE)</f>
        <v>45609</v>
      </c>
      <c r="K124" s="9">
        <f>VLOOKUP($A:$A,Sales!$B:$H,4,FALSE)</f>
        <v>1</v>
      </c>
      <c r="L124" s="5">
        <f t="shared" si="1"/>
        <v>8186</v>
      </c>
    </row>
    <row r="125" spans="1:12" x14ac:dyDescent="0.3">
      <c r="A125">
        <v>1054</v>
      </c>
      <c r="B125">
        <v>2017</v>
      </c>
      <c r="C125">
        <v>3014</v>
      </c>
      <c r="D125" t="str">
        <f>VLOOKUP('Sales table'!$A:$A,Customers!$A:$H,2,FALSE)</f>
        <v>William Hamilton</v>
      </c>
      <c r="E125">
        <f>VLOOKUP('Sales table'!$A:$A,Customers!$A:$H,4,FALSE)</f>
        <v>20</v>
      </c>
      <c r="F125" t="str">
        <f>VLOOKUP('Sales table'!$A:$A,Customers!$A:$H,5,FALSE)</f>
        <v>Bangalore</v>
      </c>
      <c r="G125" t="str">
        <f>VLOOKUP($B:$B,Products!$A:$D,2,FALSE)</f>
        <v>Handmade Pottery</v>
      </c>
      <c r="H125" t="str">
        <f>VLOOKUP($B:$B,Products!$A:$D,3,FALSE)</f>
        <v>Home Decor</v>
      </c>
      <c r="I125">
        <f>VLOOKUP($B:$B,Products!$A:$D,4,FALSE)</f>
        <v>8186</v>
      </c>
      <c r="J125" s="4">
        <f>VLOOKUP($A:$A,Sales!$B:$H,6,FALSE)</f>
        <v>45601</v>
      </c>
      <c r="K125" s="9">
        <f>VLOOKUP($A:$A,Sales!$B:$H,4,FALSE)</f>
        <v>3</v>
      </c>
      <c r="L125" s="5">
        <f t="shared" si="1"/>
        <v>24558</v>
      </c>
    </row>
    <row r="126" spans="1:12" x14ac:dyDescent="0.3">
      <c r="A126">
        <v>1104</v>
      </c>
      <c r="B126">
        <v>2011</v>
      </c>
      <c r="C126">
        <v>3032</v>
      </c>
      <c r="D126" t="str">
        <f>VLOOKUP('Sales table'!$A:$A,Customers!$A:$H,2,FALSE)</f>
        <v>Gabriel Mcdonald</v>
      </c>
      <c r="E126">
        <f>VLOOKUP('Sales table'!$A:$A,Customers!$A:$H,4,FALSE)</f>
        <v>50</v>
      </c>
      <c r="F126" t="str">
        <f>VLOOKUP('Sales table'!$A:$A,Customers!$A:$H,5,FALSE)</f>
        <v>Hyderabad</v>
      </c>
      <c r="G126" t="str">
        <f>VLOOKUP($B:$B,Products!$A:$D,2,FALSE)</f>
        <v>Festive Thali</v>
      </c>
      <c r="H126" t="str">
        <f>VLOOKUP($B:$B,Products!$A:$D,3,FALSE)</f>
        <v>Other</v>
      </c>
      <c r="I126">
        <f>VLOOKUP($B:$B,Products!$A:$D,4,FALSE)</f>
        <v>7481</v>
      </c>
      <c r="J126" s="4">
        <f>VLOOKUP($A:$A,Sales!$B:$H,6,FALSE)</f>
        <v>45605</v>
      </c>
      <c r="K126" s="9">
        <f>VLOOKUP($A:$A,Sales!$B:$H,4,FALSE)</f>
        <v>1</v>
      </c>
      <c r="L126" s="5">
        <f t="shared" si="1"/>
        <v>7481</v>
      </c>
    </row>
    <row r="127" spans="1:12" x14ac:dyDescent="0.3">
      <c r="A127">
        <v>1169</v>
      </c>
      <c r="B127">
        <v>2008</v>
      </c>
      <c r="C127">
        <v>3029</v>
      </c>
      <c r="D127" t="str">
        <f>VLOOKUP('Sales table'!$A:$A,Customers!$A:$H,2,FALSE)</f>
        <v>Antonio Mora</v>
      </c>
      <c r="E127">
        <f>VLOOKUP('Sales table'!$A:$A,Customers!$A:$H,4,FALSE)</f>
        <v>37</v>
      </c>
      <c r="F127" t="str">
        <f>VLOOKUP('Sales table'!$A:$A,Customers!$A:$H,5,FALSE)</f>
        <v>Delhi</v>
      </c>
      <c r="G127" t="str">
        <f>VLOOKUP($B:$B,Products!$A:$D,2,FALSE)</f>
        <v>Earthen Diyas</v>
      </c>
      <c r="H127" t="str">
        <f>VLOOKUP($B:$B,Products!$A:$D,3,FALSE)</f>
        <v>Home Decor</v>
      </c>
      <c r="I127">
        <f>VLOOKUP($B:$B,Products!$A:$D,4,FALSE)</f>
        <v>2136</v>
      </c>
      <c r="J127" s="4">
        <f>VLOOKUP($A:$A,Sales!$B:$H,6,FALSE)</f>
        <v>45597</v>
      </c>
      <c r="K127" s="9">
        <f>VLOOKUP($A:$A,Sales!$B:$H,4,FALSE)</f>
        <v>3</v>
      </c>
      <c r="L127" s="5">
        <f t="shared" si="1"/>
        <v>6408</v>
      </c>
    </row>
    <row r="128" spans="1:12" x14ac:dyDescent="0.3">
      <c r="A128">
        <v>1207</v>
      </c>
      <c r="B128">
        <v>2024</v>
      </c>
      <c r="C128">
        <v>3035</v>
      </c>
      <c r="D128" t="str">
        <f>VLOOKUP('Sales table'!$A:$A,Customers!$A:$H,2,FALSE)</f>
        <v>Jeffrey Curtis</v>
      </c>
      <c r="E128">
        <f>VLOOKUP('Sales table'!$A:$A,Customers!$A:$H,4,FALSE)</f>
        <v>26</v>
      </c>
      <c r="F128" t="str">
        <f>VLOOKUP('Sales table'!$A:$A,Customers!$A:$H,5,FALSE)</f>
        <v>Mumbai</v>
      </c>
      <c r="G128" t="str">
        <f>VLOOKUP($B:$B,Products!$A:$D,2,FALSE)</f>
        <v>Perfume Gift Set</v>
      </c>
      <c r="H128" t="str">
        <f>VLOOKUP($B:$B,Products!$A:$D,3,FALSE)</f>
        <v>Accessories</v>
      </c>
      <c r="I128">
        <f>VLOOKUP($B:$B,Products!$A:$D,4,FALSE)</f>
        <v>16272</v>
      </c>
      <c r="J128" s="4">
        <f>VLOOKUP($A:$A,Sales!$B:$H,6,FALSE)</f>
        <v>45596</v>
      </c>
      <c r="K128" s="9">
        <f>VLOOKUP($A:$A,Sales!$B:$H,4,FALSE)</f>
        <v>1</v>
      </c>
      <c r="L128" s="5">
        <f t="shared" si="1"/>
        <v>16272</v>
      </c>
    </row>
    <row r="129" spans="1:12" x14ac:dyDescent="0.3">
      <c r="A129">
        <v>1137</v>
      </c>
      <c r="B129">
        <v>2010</v>
      </c>
      <c r="C129">
        <v>3016</v>
      </c>
      <c r="D129" t="str">
        <f>VLOOKUP('Sales table'!$A:$A,Customers!$A:$H,2,FALSE)</f>
        <v>Karen Perez</v>
      </c>
      <c r="E129">
        <f>VLOOKUP('Sales table'!$A:$A,Customers!$A:$H,4,FALSE)</f>
        <v>61</v>
      </c>
      <c r="F129" t="str">
        <f>VLOOKUP('Sales table'!$A:$A,Customers!$A:$H,5,FALSE)</f>
        <v>Mumbai</v>
      </c>
      <c r="G129" t="str">
        <f>VLOOKUP($B:$B,Products!$A:$D,2,FALSE)</f>
        <v>Chocolate Box</v>
      </c>
      <c r="H129" t="str">
        <f>VLOOKUP($B:$B,Products!$A:$D,3,FALSE)</f>
        <v>Sweets &amp; Gifts</v>
      </c>
      <c r="I129">
        <f>VLOOKUP($B:$B,Products!$A:$D,4,FALSE)</f>
        <v>17909</v>
      </c>
      <c r="J129" s="4">
        <f>VLOOKUP($A:$A,Sales!$B:$H,6,FALSE)</f>
        <v>45599</v>
      </c>
      <c r="K129" s="9">
        <f>VLOOKUP($A:$A,Sales!$B:$H,4,FALSE)</f>
        <v>4</v>
      </c>
      <c r="L129" s="5">
        <f t="shared" si="1"/>
        <v>71636</v>
      </c>
    </row>
    <row r="130" spans="1:12" x14ac:dyDescent="0.3">
      <c r="A130">
        <v>1162</v>
      </c>
      <c r="B130">
        <v>2010</v>
      </c>
      <c r="C130">
        <v>3025</v>
      </c>
      <c r="D130" t="str">
        <f>VLOOKUP('Sales table'!$A:$A,Customers!$A:$H,2,FALSE)</f>
        <v>Jamie Jarvis</v>
      </c>
      <c r="E130">
        <f>VLOOKUP('Sales table'!$A:$A,Customers!$A:$H,4,FALSE)</f>
        <v>38</v>
      </c>
      <c r="F130" t="str">
        <f>VLOOKUP('Sales table'!$A:$A,Customers!$A:$H,5,FALSE)</f>
        <v>Kolkata</v>
      </c>
      <c r="G130" t="str">
        <f>VLOOKUP($B:$B,Products!$A:$D,2,FALSE)</f>
        <v>Chocolate Box</v>
      </c>
      <c r="H130" t="str">
        <f>VLOOKUP($B:$B,Products!$A:$D,3,FALSE)</f>
        <v>Sweets &amp; Gifts</v>
      </c>
      <c r="I130">
        <f>VLOOKUP($B:$B,Products!$A:$D,4,FALSE)</f>
        <v>17909</v>
      </c>
      <c r="J130" s="4">
        <f>VLOOKUP($A:$A,Sales!$B:$H,6,FALSE)</f>
        <v>45586</v>
      </c>
      <c r="K130" s="9">
        <f>VLOOKUP($A:$A,Sales!$B:$H,4,FALSE)</f>
        <v>5</v>
      </c>
      <c r="L130" s="5">
        <f t="shared" si="1"/>
        <v>89545</v>
      </c>
    </row>
    <row r="131" spans="1:12" x14ac:dyDescent="0.3">
      <c r="A131">
        <v>1134</v>
      </c>
      <c r="B131">
        <v>2003</v>
      </c>
      <c r="C131">
        <v>3007</v>
      </c>
      <c r="D131" t="str">
        <f>VLOOKUP('Sales table'!$A:$A,Customers!$A:$H,2,FALSE)</f>
        <v>Bobby Neal</v>
      </c>
      <c r="E131">
        <f>VLOOKUP('Sales table'!$A:$A,Customers!$A:$H,4,FALSE)</f>
        <v>61</v>
      </c>
      <c r="F131" t="str">
        <f>VLOOKUP('Sales table'!$A:$A,Customers!$A:$H,5,FALSE)</f>
        <v>Kolkata</v>
      </c>
      <c r="G131" t="str">
        <f>VLOOKUP($B:$B,Products!$A:$D,2,FALSE)</f>
        <v>Kurta</v>
      </c>
      <c r="H131" t="str">
        <f>VLOOKUP($B:$B,Products!$A:$D,3,FALSE)</f>
        <v>Clothing</v>
      </c>
      <c r="I131">
        <f>VLOOKUP($B:$B,Products!$A:$D,4,FALSE)</f>
        <v>13241</v>
      </c>
      <c r="J131" s="4">
        <f>VLOOKUP($A:$A,Sales!$B:$H,6,FALSE)</f>
        <v>45612</v>
      </c>
      <c r="K131" s="9">
        <f>VLOOKUP($A:$A,Sales!$B:$H,4,FALSE)</f>
        <v>1</v>
      </c>
      <c r="L131" s="5">
        <f t="shared" ref="L131:L194" si="2">I131*K131</f>
        <v>13241</v>
      </c>
    </row>
    <row r="132" spans="1:12" x14ac:dyDescent="0.3">
      <c r="A132">
        <v>1111</v>
      </c>
      <c r="B132">
        <v>2016</v>
      </c>
      <c r="C132">
        <v>3017</v>
      </c>
      <c r="D132" t="str">
        <f>VLOOKUP('Sales table'!$A:$A,Customers!$A:$H,2,FALSE)</f>
        <v>Steven Jones</v>
      </c>
      <c r="E132">
        <f>VLOOKUP('Sales table'!$A:$A,Customers!$A:$H,4,FALSE)</f>
        <v>42</v>
      </c>
      <c r="F132" t="str">
        <f>VLOOKUP('Sales table'!$A:$A,Customers!$A:$H,5,FALSE)</f>
        <v>Delhi</v>
      </c>
      <c r="G132" t="str">
        <f>VLOOKUP($B:$B,Products!$A:$D,2,FALSE)</f>
        <v>Fairy Lights</v>
      </c>
      <c r="H132" t="str">
        <f>VLOOKUP($B:$B,Products!$A:$D,3,FALSE)</f>
        <v>Home Decor</v>
      </c>
      <c r="I132">
        <f>VLOOKUP($B:$B,Products!$A:$D,4,FALSE)</f>
        <v>12242</v>
      </c>
      <c r="J132" s="4">
        <f>VLOOKUP($A:$A,Sales!$B:$H,6,FALSE)</f>
        <v>45609</v>
      </c>
      <c r="K132" s="9">
        <f>VLOOKUP($A:$A,Sales!$B:$H,4,FALSE)</f>
        <v>2</v>
      </c>
      <c r="L132" s="5">
        <f t="shared" si="2"/>
        <v>24484</v>
      </c>
    </row>
    <row r="133" spans="1:12" x14ac:dyDescent="0.3">
      <c r="A133">
        <v>1141</v>
      </c>
      <c r="B133">
        <v>2022</v>
      </c>
      <c r="C133">
        <v>3018</v>
      </c>
      <c r="D133" t="str">
        <f>VLOOKUP('Sales table'!$A:$A,Customers!$A:$H,2,FALSE)</f>
        <v>Pamela Smith</v>
      </c>
      <c r="E133">
        <f>VLOOKUP('Sales table'!$A:$A,Customers!$A:$H,4,FALSE)</f>
        <v>40</v>
      </c>
      <c r="F133" t="str">
        <f>VLOOKUP('Sales table'!$A:$A,Customers!$A:$H,5,FALSE)</f>
        <v>Bangalore</v>
      </c>
      <c r="G133" t="str">
        <f>VLOOKUP($B:$B,Products!$A:$D,2,FALSE)</f>
        <v>Home Decor Statue</v>
      </c>
      <c r="H133" t="str">
        <f>VLOOKUP($B:$B,Products!$A:$D,3,FALSE)</f>
        <v>Home Decor</v>
      </c>
      <c r="I133">
        <f>VLOOKUP($B:$B,Products!$A:$D,4,FALSE)</f>
        <v>17149</v>
      </c>
      <c r="J133" s="4">
        <f>VLOOKUP($A:$A,Sales!$B:$H,6,FALSE)</f>
        <v>45584</v>
      </c>
      <c r="K133" s="9">
        <f>VLOOKUP($A:$A,Sales!$B:$H,4,FALSE)</f>
        <v>5</v>
      </c>
      <c r="L133" s="5">
        <f t="shared" si="2"/>
        <v>85745</v>
      </c>
    </row>
    <row r="134" spans="1:12" x14ac:dyDescent="0.3">
      <c r="A134">
        <v>1041</v>
      </c>
      <c r="B134">
        <v>2021</v>
      </c>
      <c r="C134">
        <v>3002</v>
      </c>
      <c r="D134" t="str">
        <f>VLOOKUP('Sales table'!$A:$A,Customers!$A:$H,2,FALSE)</f>
        <v>Vincent Hale</v>
      </c>
      <c r="E134">
        <f>VLOOKUP('Sales table'!$A:$A,Customers!$A:$H,4,FALSE)</f>
        <v>31</v>
      </c>
      <c r="F134" t="str">
        <f>VLOOKUP('Sales table'!$A:$A,Customers!$A:$H,5,FALSE)</f>
        <v>Delhi</v>
      </c>
      <c r="G134" t="str">
        <f>VLOOKUP($B:$B,Products!$A:$D,2,FALSE)</f>
        <v>Smartwatch</v>
      </c>
      <c r="H134" t="str">
        <f>VLOOKUP($B:$B,Products!$A:$D,3,FALSE)</f>
        <v>Electronics</v>
      </c>
      <c r="I134">
        <f>VLOOKUP($B:$B,Products!$A:$D,4,FALSE)</f>
        <v>17586</v>
      </c>
      <c r="J134" s="4">
        <f>VLOOKUP($A:$A,Sales!$B:$H,6,FALSE)</f>
        <v>45594</v>
      </c>
      <c r="K134" s="9">
        <f>VLOOKUP($A:$A,Sales!$B:$H,4,FALSE)</f>
        <v>2</v>
      </c>
      <c r="L134" s="5">
        <f t="shared" si="2"/>
        <v>35172</v>
      </c>
    </row>
    <row r="135" spans="1:12" x14ac:dyDescent="0.3">
      <c r="A135">
        <v>1145</v>
      </c>
      <c r="B135">
        <v>2010</v>
      </c>
      <c r="C135">
        <v>3011</v>
      </c>
      <c r="D135" t="str">
        <f>VLOOKUP('Sales table'!$A:$A,Customers!$A:$H,2,FALSE)</f>
        <v>Valerie Love</v>
      </c>
      <c r="E135">
        <f>VLOOKUP('Sales table'!$A:$A,Customers!$A:$H,4,FALSE)</f>
        <v>51</v>
      </c>
      <c r="F135" t="str">
        <f>VLOOKUP('Sales table'!$A:$A,Customers!$A:$H,5,FALSE)</f>
        <v>Mumbai</v>
      </c>
      <c r="G135" t="str">
        <f>VLOOKUP($B:$B,Products!$A:$D,2,FALSE)</f>
        <v>Chocolate Box</v>
      </c>
      <c r="H135" t="str">
        <f>VLOOKUP($B:$B,Products!$A:$D,3,FALSE)</f>
        <v>Sweets &amp; Gifts</v>
      </c>
      <c r="I135">
        <f>VLOOKUP($B:$B,Products!$A:$D,4,FALSE)</f>
        <v>17909</v>
      </c>
      <c r="J135" s="4">
        <f>VLOOKUP($A:$A,Sales!$B:$H,6,FALSE)</f>
        <v>45610</v>
      </c>
      <c r="K135" s="9">
        <f>VLOOKUP($A:$A,Sales!$B:$H,4,FALSE)</f>
        <v>3</v>
      </c>
      <c r="L135" s="5">
        <f t="shared" si="2"/>
        <v>53727</v>
      </c>
    </row>
    <row r="136" spans="1:12" x14ac:dyDescent="0.3">
      <c r="A136">
        <v>1150</v>
      </c>
      <c r="B136">
        <v>2021</v>
      </c>
      <c r="C136">
        <v>3019</v>
      </c>
      <c r="D136" t="str">
        <f>VLOOKUP('Sales table'!$A:$A,Customers!$A:$H,2,FALSE)</f>
        <v>Angelica Davis</v>
      </c>
      <c r="E136">
        <f>VLOOKUP('Sales table'!$A:$A,Customers!$A:$H,4,FALSE)</f>
        <v>18</v>
      </c>
      <c r="F136" t="str">
        <f>VLOOKUP('Sales table'!$A:$A,Customers!$A:$H,5,FALSE)</f>
        <v>Bangalore</v>
      </c>
      <c r="G136" t="str">
        <f>VLOOKUP($B:$B,Products!$A:$D,2,FALSE)</f>
        <v>Smartwatch</v>
      </c>
      <c r="H136" t="str">
        <f>VLOOKUP($B:$B,Products!$A:$D,3,FALSE)</f>
        <v>Electronics</v>
      </c>
      <c r="I136">
        <f>VLOOKUP($B:$B,Products!$A:$D,4,FALSE)</f>
        <v>17586</v>
      </c>
      <c r="J136" s="4">
        <f>VLOOKUP($A:$A,Sales!$B:$H,6,FALSE)</f>
        <v>45601</v>
      </c>
      <c r="K136" s="9">
        <f>VLOOKUP($A:$A,Sales!$B:$H,4,FALSE)</f>
        <v>3</v>
      </c>
      <c r="L136" s="5">
        <f t="shared" si="2"/>
        <v>52758</v>
      </c>
    </row>
    <row r="137" spans="1:12" x14ac:dyDescent="0.3">
      <c r="A137">
        <v>1236</v>
      </c>
      <c r="B137">
        <v>2023</v>
      </c>
      <c r="C137">
        <v>3028</v>
      </c>
      <c r="D137" t="str">
        <f>VLOOKUP('Sales table'!$A:$A,Customers!$A:$H,2,FALSE)</f>
        <v>Kimberly Clay</v>
      </c>
      <c r="E137">
        <f>VLOOKUP('Sales table'!$A:$A,Customers!$A:$H,4,FALSE)</f>
        <v>60</v>
      </c>
      <c r="F137" t="str">
        <f>VLOOKUP('Sales table'!$A:$A,Customers!$A:$H,5,FALSE)</f>
        <v>Delhi</v>
      </c>
      <c r="G137" t="str">
        <f>VLOOKUP($B:$B,Products!$A:$D,2,FALSE)</f>
        <v>Kids Wear</v>
      </c>
      <c r="H137" t="str">
        <f>VLOOKUP($B:$B,Products!$A:$D,3,FALSE)</f>
        <v>Clothing</v>
      </c>
      <c r="I137">
        <f>VLOOKUP($B:$B,Products!$A:$D,4,FALSE)</f>
        <v>4794</v>
      </c>
      <c r="J137" s="4">
        <f>VLOOKUP($A:$A,Sales!$B:$H,6,FALSE)</f>
        <v>45598</v>
      </c>
      <c r="K137" s="9">
        <f>VLOOKUP($A:$A,Sales!$B:$H,4,FALSE)</f>
        <v>3</v>
      </c>
      <c r="L137" s="5">
        <f t="shared" si="2"/>
        <v>14382</v>
      </c>
    </row>
    <row r="138" spans="1:12" x14ac:dyDescent="0.3">
      <c r="A138">
        <v>1213</v>
      </c>
      <c r="B138">
        <v>2012</v>
      </c>
      <c r="C138">
        <v>3034</v>
      </c>
      <c r="D138" t="str">
        <f>VLOOKUP('Sales table'!$A:$A,Customers!$A:$H,2,FALSE)</f>
        <v>Michael Compton</v>
      </c>
      <c r="E138">
        <f>VLOOKUP('Sales table'!$A:$A,Customers!$A:$H,4,FALSE)</f>
        <v>55</v>
      </c>
      <c r="F138" t="str">
        <f>VLOOKUP('Sales table'!$A:$A,Customers!$A:$H,5,FALSE)</f>
        <v>Mumbai</v>
      </c>
      <c r="G138" t="str">
        <f>VLOOKUP($B:$B,Products!$A:$D,2,FALSE)</f>
        <v>Wall Hanging</v>
      </c>
      <c r="H138" t="str">
        <f>VLOOKUP($B:$B,Products!$A:$D,3,FALSE)</f>
        <v>Home Decor</v>
      </c>
      <c r="I138">
        <f>VLOOKUP($B:$B,Products!$A:$D,4,FALSE)</f>
        <v>11867</v>
      </c>
      <c r="J138" s="4">
        <f>VLOOKUP($A:$A,Sales!$B:$H,6,FALSE)</f>
        <v>45615</v>
      </c>
      <c r="K138" s="9">
        <f>VLOOKUP($A:$A,Sales!$B:$H,4,FALSE)</f>
        <v>1</v>
      </c>
      <c r="L138" s="5">
        <f t="shared" si="2"/>
        <v>11867</v>
      </c>
    </row>
    <row r="139" spans="1:12" x14ac:dyDescent="0.3">
      <c r="A139">
        <v>1110</v>
      </c>
      <c r="B139">
        <v>2018</v>
      </c>
      <c r="C139">
        <v>3030</v>
      </c>
      <c r="D139" t="str">
        <f>VLOOKUP('Sales table'!$A:$A,Customers!$A:$H,2,FALSE)</f>
        <v>Michelle Hardin</v>
      </c>
      <c r="E139">
        <f>VLOOKUP('Sales table'!$A:$A,Customers!$A:$H,4,FALSE)</f>
        <v>64</v>
      </c>
      <c r="F139" t="str">
        <f>VLOOKUP('Sales table'!$A:$A,Customers!$A:$H,5,FALSE)</f>
        <v>Delhi</v>
      </c>
      <c r="G139" t="str">
        <f>VLOOKUP($B:$B,Products!$A:$D,2,FALSE)</f>
        <v>Dry Fruits Pack</v>
      </c>
      <c r="H139" t="str">
        <f>VLOOKUP($B:$B,Products!$A:$D,3,FALSE)</f>
        <v>Sweets &amp; Gifts</v>
      </c>
      <c r="I139">
        <f>VLOOKUP($B:$B,Products!$A:$D,4,FALSE)</f>
        <v>7243</v>
      </c>
      <c r="J139" s="4">
        <f>VLOOKUP($A:$A,Sales!$B:$H,6,FALSE)</f>
        <v>45583</v>
      </c>
      <c r="K139" s="9">
        <f>VLOOKUP($A:$A,Sales!$B:$H,4,FALSE)</f>
        <v>3</v>
      </c>
      <c r="L139" s="5">
        <f t="shared" si="2"/>
        <v>21729</v>
      </c>
    </row>
    <row r="140" spans="1:12" x14ac:dyDescent="0.3">
      <c r="A140">
        <v>1068</v>
      </c>
      <c r="B140">
        <v>2025</v>
      </c>
      <c r="C140">
        <v>3035</v>
      </c>
      <c r="D140" t="str">
        <f>VLOOKUP('Sales table'!$A:$A,Customers!$A:$H,2,FALSE)</f>
        <v>Tiffany Brown</v>
      </c>
      <c r="E140">
        <f>VLOOKUP('Sales table'!$A:$A,Customers!$A:$H,4,FALSE)</f>
        <v>44</v>
      </c>
      <c r="F140" t="str">
        <f>VLOOKUP('Sales table'!$A:$A,Customers!$A:$H,5,FALSE)</f>
        <v>Mumbai</v>
      </c>
      <c r="G140" t="str">
        <f>VLOOKUP($B:$B,Products!$A:$D,2,FALSE)</f>
        <v>Handbag</v>
      </c>
      <c r="H140" t="str">
        <f>VLOOKUP($B:$B,Products!$A:$D,3,FALSE)</f>
        <v>Accessories</v>
      </c>
      <c r="I140">
        <f>VLOOKUP($B:$B,Products!$A:$D,4,FALSE)</f>
        <v>17019</v>
      </c>
      <c r="J140" s="4">
        <f>VLOOKUP($A:$A,Sales!$B:$H,6,FALSE)</f>
        <v>45591</v>
      </c>
      <c r="K140" s="9">
        <f>VLOOKUP($A:$A,Sales!$B:$H,4,FALSE)</f>
        <v>2</v>
      </c>
      <c r="L140" s="5">
        <f t="shared" si="2"/>
        <v>34038</v>
      </c>
    </row>
    <row r="141" spans="1:12" x14ac:dyDescent="0.3">
      <c r="A141">
        <v>1225</v>
      </c>
      <c r="B141">
        <v>2020</v>
      </c>
      <c r="C141">
        <v>3029</v>
      </c>
      <c r="D141" t="str">
        <f>VLOOKUP('Sales table'!$A:$A,Customers!$A:$H,2,FALSE)</f>
        <v>Robert Perez</v>
      </c>
      <c r="E141">
        <f>VLOOKUP('Sales table'!$A:$A,Customers!$A:$H,4,FALSE)</f>
        <v>39</v>
      </c>
      <c r="F141" t="str">
        <f>VLOOKUP('Sales table'!$A:$A,Customers!$A:$H,5,FALSE)</f>
        <v>Chennai</v>
      </c>
      <c r="G141" t="str">
        <f>VLOOKUP($B:$B,Products!$A:$D,2,FALSE)</f>
        <v>Ethnic Jewelry</v>
      </c>
      <c r="H141" t="str">
        <f>VLOOKUP($B:$B,Products!$A:$D,3,FALSE)</f>
        <v>Precious Items</v>
      </c>
      <c r="I141">
        <f>VLOOKUP($B:$B,Products!$A:$D,4,FALSE)</f>
        <v>4495</v>
      </c>
      <c r="J141" s="4">
        <f>VLOOKUP($A:$A,Sales!$B:$H,6,FALSE)</f>
        <v>45578</v>
      </c>
      <c r="K141" s="9">
        <f>VLOOKUP($A:$A,Sales!$B:$H,4,FALSE)</f>
        <v>5</v>
      </c>
      <c r="L141" s="5">
        <f t="shared" si="2"/>
        <v>22475</v>
      </c>
    </row>
    <row r="142" spans="1:12" x14ac:dyDescent="0.3">
      <c r="A142">
        <v>1300</v>
      </c>
      <c r="B142">
        <v>2009</v>
      </c>
      <c r="C142">
        <v>3021</v>
      </c>
      <c r="D142" t="str">
        <f>VLOOKUP('Sales table'!$A:$A,Customers!$A:$H,2,FALSE)</f>
        <v>Shelly Marsh</v>
      </c>
      <c r="E142">
        <f>VLOOKUP('Sales table'!$A:$A,Customers!$A:$H,4,FALSE)</f>
        <v>24</v>
      </c>
      <c r="F142" t="str">
        <f>VLOOKUP('Sales table'!$A:$A,Customers!$A:$H,5,FALSE)</f>
        <v>Pune</v>
      </c>
      <c r="G142" t="str">
        <f>VLOOKUP($B:$B,Products!$A:$D,2,FALSE)</f>
        <v>Bluetooth Speaker</v>
      </c>
      <c r="H142" t="str">
        <f>VLOOKUP($B:$B,Products!$A:$D,3,FALSE)</f>
        <v>Electronics</v>
      </c>
      <c r="I142">
        <f>VLOOKUP($B:$B,Products!$A:$D,4,FALSE)</f>
        <v>11047</v>
      </c>
      <c r="J142" s="4">
        <f>VLOOKUP($A:$A,Sales!$B:$H,6,FALSE)</f>
        <v>45578</v>
      </c>
      <c r="K142" s="9">
        <f>VLOOKUP($A:$A,Sales!$B:$H,4,FALSE)</f>
        <v>2</v>
      </c>
      <c r="L142" s="5">
        <f t="shared" si="2"/>
        <v>22094</v>
      </c>
    </row>
    <row r="143" spans="1:12" x14ac:dyDescent="0.3">
      <c r="A143">
        <v>1171</v>
      </c>
      <c r="B143">
        <v>2010</v>
      </c>
      <c r="C143">
        <v>3002</v>
      </c>
      <c r="D143" t="str">
        <f>VLOOKUP('Sales table'!$A:$A,Customers!$A:$H,2,FALSE)</f>
        <v>Brandon Graves</v>
      </c>
      <c r="E143">
        <f>VLOOKUP('Sales table'!$A:$A,Customers!$A:$H,4,FALSE)</f>
        <v>43</v>
      </c>
      <c r="F143" t="str">
        <f>VLOOKUP('Sales table'!$A:$A,Customers!$A:$H,5,FALSE)</f>
        <v>Delhi</v>
      </c>
      <c r="G143" t="str">
        <f>VLOOKUP($B:$B,Products!$A:$D,2,FALSE)</f>
        <v>Chocolate Box</v>
      </c>
      <c r="H143" t="str">
        <f>VLOOKUP($B:$B,Products!$A:$D,3,FALSE)</f>
        <v>Sweets &amp; Gifts</v>
      </c>
      <c r="I143">
        <f>VLOOKUP($B:$B,Products!$A:$D,4,FALSE)</f>
        <v>17909</v>
      </c>
      <c r="J143" s="4">
        <f>VLOOKUP($A:$A,Sales!$B:$H,6,FALSE)</f>
        <v>45616</v>
      </c>
      <c r="K143" s="9">
        <f>VLOOKUP($A:$A,Sales!$B:$H,4,FALSE)</f>
        <v>1</v>
      </c>
      <c r="L143" s="5">
        <f t="shared" si="2"/>
        <v>17909</v>
      </c>
    </row>
    <row r="144" spans="1:12" x14ac:dyDescent="0.3">
      <c r="A144">
        <v>1253</v>
      </c>
      <c r="B144">
        <v>2007</v>
      </c>
      <c r="C144">
        <v>3019</v>
      </c>
      <c r="D144" t="str">
        <f>VLOOKUP('Sales table'!$A:$A,Customers!$A:$H,2,FALSE)</f>
        <v>Javier Lewis</v>
      </c>
      <c r="E144">
        <f>VLOOKUP('Sales table'!$A:$A,Customers!$A:$H,4,FALSE)</f>
        <v>40</v>
      </c>
      <c r="F144" t="str">
        <f>VLOOKUP('Sales table'!$A:$A,Customers!$A:$H,5,FALSE)</f>
        <v>Bangalore</v>
      </c>
      <c r="G144" t="str">
        <f>VLOOKUP($B:$B,Products!$A:$D,2,FALSE)</f>
        <v>Gift Hamper</v>
      </c>
      <c r="H144" t="str">
        <f>VLOOKUP($B:$B,Products!$A:$D,3,FALSE)</f>
        <v>Sweets &amp; Gifts</v>
      </c>
      <c r="I144">
        <f>VLOOKUP($B:$B,Products!$A:$D,4,FALSE)</f>
        <v>3412</v>
      </c>
      <c r="J144" s="4">
        <f>VLOOKUP($A:$A,Sales!$B:$H,6,FALSE)</f>
        <v>45612</v>
      </c>
      <c r="K144" s="9">
        <f>VLOOKUP($A:$A,Sales!$B:$H,4,FALSE)</f>
        <v>4</v>
      </c>
      <c r="L144" s="5">
        <f t="shared" si="2"/>
        <v>13648</v>
      </c>
    </row>
    <row r="145" spans="1:12" x14ac:dyDescent="0.3">
      <c r="A145">
        <v>1068</v>
      </c>
      <c r="B145">
        <v>2018</v>
      </c>
      <c r="C145">
        <v>3010</v>
      </c>
      <c r="D145" t="str">
        <f>VLOOKUP('Sales table'!$A:$A,Customers!$A:$H,2,FALSE)</f>
        <v>Tiffany Brown</v>
      </c>
      <c r="E145">
        <f>VLOOKUP('Sales table'!$A:$A,Customers!$A:$H,4,FALSE)</f>
        <v>44</v>
      </c>
      <c r="F145" t="str">
        <f>VLOOKUP('Sales table'!$A:$A,Customers!$A:$H,5,FALSE)</f>
        <v>Mumbai</v>
      </c>
      <c r="G145" t="str">
        <f>VLOOKUP($B:$B,Products!$A:$D,2,FALSE)</f>
        <v>Dry Fruits Pack</v>
      </c>
      <c r="H145" t="str">
        <f>VLOOKUP($B:$B,Products!$A:$D,3,FALSE)</f>
        <v>Sweets &amp; Gifts</v>
      </c>
      <c r="I145">
        <f>VLOOKUP($B:$B,Products!$A:$D,4,FALSE)</f>
        <v>7243</v>
      </c>
      <c r="J145" s="4">
        <f>VLOOKUP($A:$A,Sales!$B:$H,6,FALSE)</f>
        <v>45591</v>
      </c>
      <c r="K145" s="9">
        <f>VLOOKUP($A:$A,Sales!$B:$H,4,FALSE)</f>
        <v>2</v>
      </c>
      <c r="L145" s="5">
        <f t="shared" si="2"/>
        <v>14486</v>
      </c>
    </row>
    <row r="146" spans="1:12" x14ac:dyDescent="0.3">
      <c r="A146">
        <v>1139</v>
      </c>
      <c r="B146">
        <v>2024</v>
      </c>
      <c r="C146">
        <v>3024</v>
      </c>
      <c r="D146" t="str">
        <f>VLOOKUP('Sales table'!$A:$A,Customers!$A:$H,2,FALSE)</f>
        <v>Jeremy Barnes</v>
      </c>
      <c r="E146">
        <f>VLOOKUP('Sales table'!$A:$A,Customers!$A:$H,4,FALSE)</f>
        <v>46</v>
      </c>
      <c r="F146" t="str">
        <f>VLOOKUP('Sales table'!$A:$A,Customers!$A:$H,5,FALSE)</f>
        <v>Delhi</v>
      </c>
      <c r="G146" t="str">
        <f>VLOOKUP($B:$B,Products!$A:$D,2,FALSE)</f>
        <v>Perfume Gift Set</v>
      </c>
      <c r="H146" t="str">
        <f>VLOOKUP($B:$B,Products!$A:$D,3,FALSE)</f>
        <v>Accessories</v>
      </c>
      <c r="I146">
        <f>VLOOKUP($B:$B,Products!$A:$D,4,FALSE)</f>
        <v>16272</v>
      </c>
      <c r="J146" s="4">
        <f>VLOOKUP($A:$A,Sales!$B:$H,6,FALSE)</f>
        <v>45608</v>
      </c>
      <c r="K146" s="9">
        <f>VLOOKUP($A:$A,Sales!$B:$H,4,FALSE)</f>
        <v>5</v>
      </c>
      <c r="L146" s="5">
        <f t="shared" si="2"/>
        <v>81360</v>
      </c>
    </row>
    <row r="147" spans="1:12" x14ac:dyDescent="0.3">
      <c r="A147">
        <v>1185</v>
      </c>
      <c r="B147">
        <v>2021</v>
      </c>
      <c r="C147">
        <v>3005</v>
      </c>
      <c r="D147" t="str">
        <f>VLOOKUP('Sales table'!$A:$A,Customers!$A:$H,2,FALSE)</f>
        <v>Patrick Osborn</v>
      </c>
      <c r="E147">
        <f>VLOOKUP('Sales table'!$A:$A,Customers!$A:$H,4,FALSE)</f>
        <v>52</v>
      </c>
      <c r="F147" t="str">
        <f>VLOOKUP('Sales table'!$A:$A,Customers!$A:$H,5,FALSE)</f>
        <v>Mumbai</v>
      </c>
      <c r="G147" t="str">
        <f>VLOOKUP($B:$B,Products!$A:$D,2,FALSE)</f>
        <v>Smartwatch</v>
      </c>
      <c r="H147" t="str">
        <f>VLOOKUP($B:$B,Products!$A:$D,3,FALSE)</f>
        <v>Electronics</v>
      </c>
      <c r="I147">
        <f>VLOOKUP($B:$B,Products!$A:$D,4,FALSE)</f>
        <v>17586</v>
      </c>
      <c r="J147" s="4">
        <f>VLOOKUP($A:$A,Sales!$B:$H,6,FALSE)</f>
        <v>45597</v>
      </c>
      <c r="K147" s="9">
        <f>VLOOKUP($A:$A,Sales!$B:$H,4,FALSE)</f>
        <v>4</v>
      </c>
      <c r="L147" s="5">
        <f t="shared" si="2"/>
        <v>70344</v>
      </c>
    </row>
    <row r="148" spans="1:12" x14ac:dyDescent="0.3">
      <c r="A148">
        <v>1147</v>
      </c>
      <c r="B148">
        <v>2005</v>
      </c>
      <c r="C148">
        <v>3002</v>
      </c>
      <c r="D148" t="str">
        <f>VLOOKUP('Sales table'!$A:$A,Customers!$A:$H,2,FALSE)</f>
        <v>Edward Greene</v>
      </c>
      <c r="E148">
        <f>VLOOKUP('Sales table'!$A:$A,Customers!$A:$H,4,FALSE)</f>
        <v>58</v>
      </c>
      <c r="F148" t="str">
        <f>VLOOKUP('Sales table'!$A:$A,Customers!$A:$H,5,FALSE)</f>
        <v>Hyderabad</v>
      </c>
      <c r="G148" t="str">
        <f>VLOOKUP($B:$B,Products!$A:$D,2,FALSE)</f>
        <v>LED Lamp</v>
      </c>
      <c r="H148" t="str">
        <f>VLOOKUP($B:$B,Products!$A:$D,3,FALSE)</f>
        <v>Home Decor</v>
      </c>
      <c r="I148">
        <f>VLOOKUP($B:$B,Products!$A:$D,4,FALSE)</f>
        <v>3828</v>
      </c>
      <c r="J148" s="4">
        <f>VLOOKUP($A:$A,Sales!$B:$H,6,FALSE)</f>
        <v>45603</v>
      </c>
      <c r="K148" s="9">
        <f>VLOOKUP($A:$A,Sales!$B:$H,4,FALSE)</f>
        <v>1</v>
      </c>
      <c r="L148" s="5">
        <f t="shared" si="2"/>
        <v>3828</v>
      </c>
    </row>
    <row r="149" spans="1:12" x14ac:dyDescent="0.3">
      <c r="A149">
        <v>1056</v>
      </c>
      <c r="B149">
        <v>2009</v>
      </c>
      <c r="C149">
        <v>3010</v>
      </c>
      <c r="D149" t="str">
        <f>VLOOKUP('Sales table'!$A:$A,Customers!$A:$H,2,FALSE)</f>
        <v>Katie King</v>
      </c>
      <c r="E149">
        <f>VLOOKUP('Sales table'!$A:$A,Customers!$A:$H,4,FALSE)</f>
        <v>58</v>
      </c>
      <c r="F149" t="str">
        <f>VLOOKUP('Sales table'!$A:$A,Customers!$A:$H,5,FALSE)</f>
        <v>Hyderabad</v>
      </c>
      <c r="G149" t="str">
        <f>VLOOKUP($B:$B,Products!$A:$D,2,FALSE)</f>
        <v>Bluetooth Speaker</v>
      </c>
      <c r="H149" t="str">
        <f>VLOOKUP($B:$B,Products!$A:$D,3,FALSE)</f>
        <v>Electronics</v>
      </c>
      <c r="I149">
        <f>VLOOKUP($B:$B,Products!$A:$D,4,FALSE)</f>
        <v>11047</v>
      </c>
      <c r="J149" s="4">
        <f>VLOOKUP($A:$A,Sales!$B:$H,6,FALSE)</f>
        <v>45594</v>
      </c>
      <c r="K149" s="9">
        <f>VLOOKUP($A:$A,Sales!$B:$H,4,FALSE)</f>
        <v>3</v>
      </c>
      <c r="L149" s="5">
        <f t="shared" si="2"/>
        <v>33141</v>
      </c>
    </row>
    <row r="150" spans="1:12" x14ac:dyDescent="0.3">
      <c r="A150">
        <v>1096</v>
      </c>
      <c r="B150">
        <v>2002</v>
      </c>
      <c r="C150">
        <v>3012</v>
      </c>
      <c r="D150" t="str">
        <f>VLOOKUP('Sales table'!$A:$A,Customers!$A:$H,2,FALSE)</f>
        <v>Morgan Webb</v>
      </c>
      <c r="E150">
        <f>VLOOKUP('Sales table'!$A:$A,Customers!$A:$H,4,FALSE)</f>
        <v>60</v>
      </c>
      <c r="F150" t="str">
        <f>VLOOKUP('Sales table'!$A:$A,Customers!$A:$H,5,FALSE)</f>
        <v>Mumbai</v>
      </c>
      <c r="G150" t="str">
        <f>VLOOKUP($B:$B,Products!$A:$D,2,FALSE)</f>
        <v>Saree</v>
      </c>
      <c r="H150" t="str">
        <f>VLOOKUP($B:$B,Products!$A:$D,3,FALSE)</f>
        <v>Clothing</v>
      </c>
      <c r="I150">
        <f>VLOOKUP($B:$B,Products!$A:$D,4,FALSE)</f>
        <v>9534</v>
      </c>
      <c r="J150" s="4">
        <f>VLOOKUP($A:$A,Sales!$B:$H,6,FALSE)</f>
        <v>45616</v>
      </c>
      <c r="K150" s="9">
        <f>VLOOKUP($A:$A,Sales!$B:$H,4,FALSE)</f>
        <v>4</v>
      </c>
      <c r="L150" s="5">
        <f t="shared" si="2"/>
        <v>38136</v>
      </c>
    </row>
    <row r="151" spans="1:12" x14ac:dyDescent="0.3">
      <c r="A151">
        <v>1134</v>
      </c>
      <c r="B151">
        <v>2004</v>
      </c>
      <c r="C151">
        <v>3027</v>
      </c>
      <c r="D151" t="str">
        <f>VLOOKUP('Sales table'!$A:$A,Customers!$A:$H,2,FALSE)</f>
        <v>Bobby Neal</v>
      </c>
      <c r="E151">
        <f>VLOOKUP('Sales table'!$A:$A,Customers!$A:$H,4,FALSE)</f>
        <v>61</v>
      </c>
      <c r="F151" t="str">
        <f>VLOOKUP('Sales table'!$A:$A,Customers!$A:$H,5,FALSE)</f>
        <v>Kolkata</v>
      </c>
      <c r="G151" t="str">
        <f>VLOOKUP($B:$B,Products!$A:$D,2,FALSE)</f>
        <v>Smartphone</v>
      </c>
      <c r="H151" t="str">
        <f>VLOOKUP($B:$B,Products!$A:$D,3,FALSE)</f>
        <v>Electronics</v>
      </c>
      <c r="I151">
        <f>VLOOKUP($B:$B,Products!$A:$D,4,FALSE)</f>
        <v>4952</v>
      </c>
      <c r="J151" s="4">
        <f>VLOOKUP($A:$A,Sales!$B:$H,6,FALSE)</f>
        <v>45612</v>
      </c>
      <c r="K151" s="9">
        <f>VLOOKUP($A:$A,Sales!$B:$H,4,FALSE)</f>
        <v>1</v>
      </c>
      <c r="L151" s="5">
        <f t="shared" si="2"/>
        <v>4952</v>
      </c>
    </row>
    <row r="152" spans="1:12" x14ac:dyDescent="0.3">
      <c r="A152">
        <v>1232</v>
      </c>
      <c r="B152">
        <v>2007</v>
      </c>
      <c r="C152">
        <v>3008</v>
      </c>
      <c r="D152" t="str">
        <f>VLOOKUP('Sales table'!$A:$A,Customers!$A:$H,2,FALSE)</f>
        <v>Joshua Craig</v>
      </c>
      <c r="E152">
        <f>VLOOKUP('Sales table'!$A:$A,Customers!$A:$H,4,FALSE)</f>
        <v>29</v>
      </c>
      <c r="F152" t="str">
        <f>VLOOKUP('Sales table'!$A:$A,Customers!$A:$H,5,FALSE)</f>
        <v>Pune</v>
      </c>
      <c r="G152" t="str">
        <f>VLOOKUP($B:$B,Products!$A:$D,2,FALSE)</f>
        <v>Gift Hamper</v>
      </c>
      <c r="H152" t="str">
        <f>VLOOKUP($B:$B,Products!$A:$D,3,FALSE)</f>
        <v>Sweets &amp; Gifts</v>
      </c>
      <c r="I152">
        <f>VLOOKUP($B:$B,Products!$A:$D,4,FALSE)</f>
        <v>3412</v>
      </c>
      <c r="J152" s="4">
        <f>VLOOKUP($A:$A,Sales!$B:$H,6,FALSE)</f>
        <v>45609</v>
      </c>
      <c r="K152" s="9">
        <f>VLOOKUP($A:$A,Sales!$B:$H,4,FALSE)</f>
        <v>1</v>
      </c>
      <c r="L152" s="5">
        <f t="shared" si="2"/>
        <v>3412</v>
      </c>
    </row>
    <row r="153" spans="1:12" x14ac:dyDescent="0.3">
      <c r="A153">
        <v>1269</v>
      </c>
      <c r="B153">
        <v>2017</v>
      </c>
      <c r="C153">
        <v>3006</v>
      </c>
      <c r="D153" t="str">
        <f>VLOOKUP('Sales table'!$A:$A,Customers!$A:$H,2,FALSE)</f>
        <v>Anne Harris</v>
      </c>
      <c r="E153">
        <f>VLOOKUP('Sales table'!$A:$A,Customers!$A:$H,4,FALSE)</f>
        <v>33</v>
      </c>
      <c r="F153" t="str">
        <f>VLOOKUP('Sales table'!$A:$A,Customers!$A:$H,5,FALSE)</f>
        <v>Kolkata</v>
      </c>
      <c r="G153" t="str">
        <f>VLOOKUP($B:$B,Products!$A:$D,2,FALSE)</f>
        <v>Handmade Pottery</v>
      </c>
      <c r="H153" t="str">
        <f>VLOOKUP($B:$B,Products!$A:$D,3,FALSE)</f>
        <v>Home Decor</v>
      </c>
      <c r="I153">
        <f>VLOOKUP($B:$B,Products!$A:$D,4,FALSE)</f>
        <v>8186</v>
      </c>
      <c r="J153" s="4">
        <f>VLOOKUP($A:$A,Sales!$B:$H,6,FALSE)</f>
        <v>45607</v>
      </c>
      <c r="K153" s="9">
        <f>VLOOKUP($A:$A,Sales!$B:$H,4,FALSE)</f>
        <v>5</v>
      </c>
      <c r="L153" s="5">
        <f t="shared" si="2"/>
        <v>40930</v>
      </c>
    </row>
    <row r="154" spans="1:12" x14ac:dyDescent="0.3">
      <c r="A154">
        <v>1050</v>
      </c>
      <c r="B154">
        <v>2016</v>
      </c>
      <c r="C154">
        <v>3029</v>
      </c>
      <c r="D154" t="str">
        <f>VLOOKUP('Sales table'!$A:$A,Customers!$A:$H,2,FALSE)</f>
        <v>Ronald Gonzalez</v>
      </c>
      <c r="E154">
        <f>VLOOKUP('Sales table'!$A:$A,Customers!$A:$H,4,FALSE)</f>
        <v>46</v>
      </c>
      <c r="F154" t="str">
        <f>VLOOKUP('Sales table'!$A:$A,Customers!$A:$H,5,FALSE)</f>
        <v>Chennai</v>
      </c>
      <c r="G154" t="str">
        <f>VLOOKUP($B:$B,Products!$A:$D,2,FALSE)</f>
        <v>Fairy Lights</v>
      </c>
      <c r="H154" t="str">
        <f>VLOOKUP($B:$B,Products!$A:$D,3,FALSE)</f>
        <v>Home Decor</v>
      </c>
      <c r="I154">
        <f>VLOOKUP($B:$B,Products!$A:$D,4,FALSE)</f>
        <v>12242</v>
      </c>
      <c r="J154" s="4">
        <f>VLOOKUP($A:$A,Sales!$B:$H,6,FALSE)</f>
        <v>45589</v>
      </c>
      <c r="K154" s="9">
        <f>VLOOKUP($A:$A,Sales!$B:$H,4,FALSE)</f>
        <v>4</v>
      </c>
      <c r="L154" s="5">
        <f t="shared" si="2"/>
        <v>48968</v>
      </c>
    </row>
    <row r="155" spans="1:12" x14ac:dyDescent="0.3">
      <c r="A155">
        <v>1257</v>
      </c>
      <c r="B155">
        <v>2010</v>
      </c>
      <c r="C155">
        <v>3026</v>
      </c>
      <c r="D155" t="str">
        <f>VLOOKUP('Sales table'!$A:$A,Customers!$A:$H,2,FALSE)</f>
        <v>Eric Terry</v>
      </c>
      <c r="E155">
        <f>VLOOKUP('Sales table'!$A:$A,Customers!$A:$H,4,FALSE)</f>
        <v>57</v>
      </c>
      <c r="F155" t="str">
        <f>VLOOKUP('Sales table'!$A:$A,Customers!$A:$H,5,FALSE)</f>
        <v>Delhi</v>
      </c>
      <c r="G155" t="str">
        <f>VLOOKUP($B:$B,Products!$A:$D,2,FALSE)</f>
        <v>Chocolate Box</v>
      </c>
      <c r="H155" t="str">
        <f>VLOOKUP($B:$B,Products!$A:$D,3,FALSE)</f>
        <v>Sweets &amp; Gifts</v>
      </c>
      <c r="I155">
        <f>VLOOKUP($B:$B,Products!$A:$D,4,FALSE)</f>
        <v>17909</v>
      </c>
      <c r="J155" s="4">
        <f>VLOOKUP($A:$A,Sales!$B:$H,6,FALSE)</f>
        <v>45583</v>
      </c>
      <c r="K155" s="9">
        <f>VLOOKUP($A:$A,Sales!$B:$H,4,FALSE)</f>
        <v>4</v>
      </c>
      <c r="L155" s="5">
        <f t="shared" si="2"/>
        <v>71636</v>
      </c>
    </row>
    <row r="156" spans="1:12" x14ac:dyDescent="0.3">
      <c r="A156">
        <v>1189</v>
      </c>
      <c r="B156">
        <v>2010</v>
      </c>
      <c r="C156">
        <v>3017</v>
      </c>
      <c r="D156" t="str">
        <f>VLOOKUP('Sales table'!$A:$A,Customers!$A:$H,2,FALSE)</f>
        <v>Kaitlyn Hickman</v>
      </c>
      <c r="E156">
        <f>VLOOKUP('Sales table'!$A:$A,Customers!$A:$H,4,FALSE)</f>
        <v>21</v>
      </c>
      <c r="F156" t="str">
        <f>VLOOKUP('Sales table'!$A:$A,Customers!$A:$H,5,FALSE)</f>
        <v>Delhi</v>
      </c>
      <c r="G156" t="str">
        <f>VLOOKUP($B:$B,Products!$A:$D,2,FALSE)</f>
        <v>Chocolate Box</v>
      </c>
      <c r="H156" t="str">
        <f>VLOOKUP($B:$B,Products!$A:$D,3,FALSE)</f>
        <v>Sweets &amp; Gifts</v>
      </c>
      <c r="I156">
        <f>VLOOKUP($B:$B,Products!$A:$D,4,FALSE)</f>
        <v>17909</v>
      </c>
      <c r="J156" s="4">
        <f>VLOOKUP($A:$A,Sales!$B:$H,6,FALSE)</f>
        <v>45599</v>
      </c>
      <c r="K156" s="9">
        <f>VLOOKUP($A:$A,Sales!$B:$H,4,FALSE)</f>
        <v>2</v>
      </c>
      <c r="L156" s="5">
        <f t="shared" si="2"/>
        <v>35818</v>
      </c>
    </row>
    <row r="157" spans="1:12" x14ac:dyDescent="0.3">
      <c r="A157">
        <v>1018</v>
      </c>
      <c r="B157">
        <v>2001</v>
      </c>
      <c r="C157">
        <v>3008</v>
      </c>
      <c r="D157" t="str">
        <f>VLOOKUP('Sales table'!$A:$A,Customers!$A:$H,2,FALSE)</f>
        <v>Mariah Kim</v>
      </c>
      <c r="E157">
        <f>VLOOKUP('Sales table'!$A:$A,Customers!$A:$H,4,FALSE)</f>
        <v>34</v>
      </c>
      <c r="F157" t="str">
        <f>VLOOKUP('Sales table'!$A:$A,Customers!$A:$H,5,FALSE)</f>
        <v>Mumbai</v>
      </c>
      <c r="G157" t="str">
        <f>VLOOKUP($B:$B,Products!$A:$D,2,FALSE)</f>
        <v>Sweets Box</v>
      </c>
      <c r="H157" t="str">
        <f>VLOOKUP($B:$B,Products!$A:$D,3,FALSE)</f>
        <v>Sweets &amp; Gifts</v>
      </c>
      <c r="I157">
        <f>VLOOKUP($B:$B,Products!$A:$D,4,FALSE)</f>
        <v>7228</v>
      </c>
      <c r="J157" s="4">
        <f>VLOOKUP($A:$A,Sales!$B:$H,6,FALSE)</f>
        <v>45610</v>
      </c>
      <c r="K157" s="9">
        <f>VLOOKUP($A:$A,Sales!$B:$H,4,FALSE)</f>
        <v>1</v>
      </c>
      <c r="L157" s="5">
        <f t="shared" si="2"/>
        <v>7228</v>
      </c>
    </row>
    <row r="158" spans="1:12" x14ac:dyDescent="0.3">
      <c r="A158">
        <v>1096</v>
      </c>
      <c r="B158">
        <v>2019</v>
      </c>
      <c r="C158">
        <v>3031</v>
      </c>
      <c r="D158" t="str">
        <f>VLOOKUP('Sales table'!$A:$A,Customers!$A:$H,2,FALSE)</f>
        <v>Morgan Webb</v>
      </c>
      <c r="E158">
        <f>VLOOKUP('Sales table'!$A:$A,Customers!$A:$H,4,FALSE)</f>
        <v>60</v>
      </c>
      <c r="F158" t="str">
        <f>VLOOKUP('Sales table'!$A:$A,Customers!$A:$H,5,FALSE)</f>
        <v>Mumbai</v>
      </c>
      <c r="G158" t="str">
        <f>VLOOKUP($B:$B,Products!$A:$D,2,FALSE)</f>
        <v>Designer Kurti</v>
      </c>
      <c r="H158" t="str">
        <f>VLOOKUP($B:$B,Products!$A:$D,3,FALSE)</f>
        <v>Clothing</v>
      </c>
      <c r="I158">
        <f>VLOOKUP($B:$B,Products!$A:$D,4,FALSE)</f>
        <v>13620</v>
      </c>
      <c r="J158" s="4">
        <f>VLOOKUP($A:$A,Sales!$B:$H,6,FALSE)</f>
        <v>45616</v>
      </c>
      <c r="K158" s="9">
        <f>VLOOKUP($A:$A,Sales!$B:$H,4,FALSE)</f>
        <v>4</v>
      </c>
      <c r="L158" s="5">
        <f t="shared" si="2"/>
        <v>54480</v>
      </c>
    </row>
    <row r="159" spans="1:12" x14ac:dyDescent="0.3">
      <c r="A159">
        <v>1207</v>
      </c>
      <c r="B159">
        <v>2025</v>
      </c>
      <c r="C159">
        <v>3003</v>
      </c>
      <c r="D159" t="str">
        <f>VLOOKUP('Sales table'!$A:$A,Customers!$A:$H,2,FALSE)</f>
        <v>Jeffrey Curtis</v>
      </c>
      <c r="E159">
        <f>VLOOKUP('Sales table'!$A:$A,Customers!$A:$H,4,FALSE)</f>
        <v>26</v>
      </c>
      <c r="F159" t="str">
        <f>VLOOKUP('Sales table'!$A:$A,Customers!$A:$H,5,FALSE)</f>
        <v>Mumbai</v>
      </c>
      <c r="G159" t="str">
        <f>VLOOKUP($B:$B,Products!$A:$D,2,FALSE)</f>
        <v>Handbag</v>
      </c>
      <c r="H159" t="str">
        <f>VLOOKUP($B:$B,Products!$A:$D,3,FALSE)</f>
        <v>Accessories</v>
      </c>
      <c r="I159">
        <f>VLOOKUP($B:$B,Products!$A:$D,4,FALSE)</f>
        <v>17019</v>
      </c>
      <c r="J159" s="4">
        <f>VLOOKUP($A:$A,Sales!$B:$H,6,FALSE)</f>
        <v>45596</v>
      </c>
      <c r="K159" s="9">
        <f>VLOOKUP($A:$A,Sales!$B:$H,4,FALSE)</f>
        <v>1</v>
      </c>
      <c r="L159" s="5">
        <f t="shared" si="2"/>
        <v>17019</v>
      </c>
    </row>
    <row r="160" spans="1:12" x14ac:dyDescent="0.3">
      <c r="A160">
        <v>1068</v>
      </c>
      <c r="B160">
        <v>2025</v>
      </c>
      <c r="C160">
        <v>3024</v>
      </c>
      <c r="D160" t="str">
        <f>VLOOKUP('Sales table'!$A:$A,Customers!$A:$H,2,FALSE)</f>
        <v>Tiffany Brown</v>
      </c>
      <c r="E160">
        <f>VLOOKUP('Sales table'!$A:$A,Customers!$A:$H,4,FALSE)</f>
        <v>44</v>
      </c>
      <c r="F160" t="str">
        <f>VLOOKUP('Sales table'!$A:$A,Customers!$A:$H,5,FALSE)</f>
        <v>Mumbai</v>
      </c>
      <c r="G160" t="str">
        <f>VLOOKUP($B:$B,Products!$A:$D,2,FALSE)</f>
        <v>Handbag</v>
      </c>
      <c r="H160" t="str">
        <f>VLOOKUP($B:$B,Products!$A:$D,3,FALSE)</f>
        <v>Accessories</v>
      </c>
      <c r="I160">
        <f>VLOOKUP($B:$B,Products!$A:$D,4,FALSE)</f>
        <v>17019</v>
      </c>
      <c r="J160" s="4">
        <f>VLOOKUP($A:$A,Sales!$B:$H,6,FALSE)</f>
        <v>45591</v>
      </c>
      <c r="K160" s="9">
        <f>VLOOKUP($A:$A,Sales!$B:$H,4,FALSE)</f>
        <v>2</v>
      </c>
      <c r="L160" s="5">
        <f t="shared" si="2"/>
        <v>34038</v>
      </c>
    </row>
    <row r="161" spans="1:12" x14ac:dyDescent="0.3">
      <c r="A161">
        <v>1232</v>
      </c>
      <c r="B161">
        <v>2014</v>
      </c>
      <c r="C161">
        <v>3015</v>
      </c>
      <c r="D161" t="str">
        <f>VLOOKUP('Sales table'!$A:$A,Customers!$A:$H,2,FALSE)</f>
        <v>Joshua Craig</v>
      </c>
      <c r="E161">
        <f>VLOOKUP('Sales table'!$A:$A,Customers!$A:$H,4,FALSE)</f>
        <v>29</v>
      </c>
      <c r="F161" t="str">
        <f>VLOOKUP('Sales table'!$A:$A,Customers!$A:$H,5,FALSE)</f>
        <v>Pune</v>
      </c>
      <c r="G161" t="str">
        <f>VLOOKUP($B:$B,Products!$A:$D,2,FALSE)</f>
        <v>Gold Coin</v>
      </c>
      <c r="H161" t="str">
        <f>VLOOKUP($B:$B,Products!$A:$D,3,FALSE)</f>
        <v>Precious Items</v>
      </c>
      <c r="I161">
        <f>VLOOKUP($B:$B,Products!$A:$D,4,FALSE)</f>
        <v>13823</v>
      </c>
      <c r="J161" s="4">
        <f>VLOOKUP($A:$A,Sales!$B:$H,6,FALSE)</f>
        <v>45609</v>
      </c>
      <c r="K161" s="9">
        <f>VLOOKUP($A:$A,Sales!$B:$H,4,FALSE)</f>
        <v>1</v>
      </c>
      <c r="L161" s="5">
        <f t="shared" si="2"/>
        <v>13823</v>
      </c>
    </row>
    <row r="162" spans="1:12" x14ac:dyDescent="0.3">
      <c r="A162">
        <v>1146</v>
      </c>
      <c r="B162">
        <v>2009</v>
      </c>
      <c r="C162">
        <v>3004</v>
      </c>
      <c r="D162" t="str">
        <f>VLOOKUP('Sales table'!$A:$A,Customers!$A:$H,2,FALSE)</f>
        <v>Angela Martin</v>
      </c>
      <c r="E162">
        <f>VLOOKUP('Sales table'!$A:$A,Customers!$A:$H,4,FALSE)</f>
        <v>61</v>
      </c>
      <c r="F162" t="str">
        <f>VLOOKUP('Sales table'!$A:$A,Customers!$A:$H,5,FALSE)</f>
        <v>Bangalore</v>
      </c>
      <c r="G162" t="str">
        <f>VLOOKUP($B:$B,Products!$A:$D,2,FALSE)</f>
        <v>Bluetooth Speaker</v>
      </c>
      <c r="H162" t="str">
        <f>VLOOKUP($B:$B,Products!$A:$D,3,FALSE)</f>
        <v>Electronics</v>
      </c>
      <c r="I162">
        <f>VLOOKUP($B:$B,Products!$A:$D,4,FALSE)</f>
        <v>11047</v>
      </c>
      <c r="J162" s="4">
        <f>VLOOKUP($A:$A,Sales!$B:$H,6,FALSE)</f>
        <v>45608</v>
      </c>
      <c r="K162" s="9">
        <f>VLOOKUP($A:$A,Sales!$B:$H,4,FALSE)</f>
        <v>1</v>
      </c>
      <c r="L162" s="5">
        <f t="shared" si="2"/>
        <v>11047</v>
      </c>
    </row>
    <row r="163" spans="1:12" x14ac:dyDescent="0.3">
      <c r="A163">
        <v>1225</v>
      </c>
      <c r="B163">
        <v>2020</v>
      </c>
      <c r="C163">
        <v>3011</v>
      </c>
      <c r="D163" t="str">
        <f>VLOOKUP('Sales table'!$A:$A,Customers!$A:$H,2,FALSE)</f>
        <v>Robert Perez</v>
      </c>
      <c r="E163">
        <f>VLOOKUP('Sales table'!$A:$A,Customers!$A:$H,4,FALSE)</f>
        <v>39</v>
      </c>
      <c r="F163" t="str">
        <f>VLOOKUP('Sales table'!$A:$A,Customers!$A:$H,5,FALSE)</f>
        <v>Chennai</v>
      </c>
      <c r="G163" t="str">
        <f>VLOOKUP($B:$B,Products!$A:$D,2,FALSE)</f>
        <v>Ethnic Jewelry</v>
      </c>
      <c r="H163" t="str">
        <f>VLOOKUP($B:$B,Products!$A:$D,3,FALSE)</f>
        <v>Precious Items</v>
      </c>
      <c r="I163">
        <f>VLOOKUP($B:$B,Products!$A:$D,4,FALSE)</f>
        <v>4495</v>
      </c>
      <c r="J163" s="4">
        <f>VLOOKUP($A:$A,Sales!$B:$H,6,FALSE)</f>
        <v>45578</v>
      </c>
      <c r="K163" s="9">
        <f>VLOOKUP($A:$A,Sales!$B:$H,4,FALSE)</f>
        <v>5</v>
      </c>
      <c r="L163" s="5">
        <f t="shared" si="2"/>
        <v>22475</v>
      </c>
    </row>
    <row r="164" spans="1:12" x14ac:dyDescent="0.3">
      <c r="A164">
        <v>1135</v>
      </c>
      <c r="B164">
        <v>2010</v>
      </c>
      <c r="C164">
        <v>3019</v>
      </c>
      <c r="D164" t="str">
        <f>VLOOKUP('Sales table'!$A:$A,Customers!$A:$H,2,FALSE)</f>
        <v>Curtis Gonzales</v>
      </c>
      <c r="E164">
        <f>VLOOKUP('Sales table'!$A:$A,Customers!$A:$H,4,FALSE)</f>
        <v>47</v>
      </c>
      <c r="F164" t="str">
        <f>VLOOKUP('Sales table'!$A:$A,Customers!$A:$H,5,FALSE)</f>
        <v>Bangalore</v>
      </c>
      <c r="G164" t="str">
        <f>VLOOKUP($B:$B,Products!$A:$D,2,FALSE)</f>
        <v>Chocolate Box</v>
      </c>
      <c r="H164" t="str">
        <f>VLOOKUP($B:$B,Products!$A:$D,3,FALSE)</f>
        <v>Sweets &amp; Gifts</v>
      </c>
      <c r="I164">
        <f>VLOOKUP($B:$B,Products!$A:$D,4,FALSE)</f>
        <v>17909</v>
      </c>
      <c r="J164" s="4">
        <f>VLOOKUP($A:$A,Sales!$B:$H,6,FALSE)</f>
        <v>45588</v>
      </c>
      <c r="K164" s="9">
        <f>VLOOKUP($A:$A,Sales!$B:$H,4,FALSE)</f>
        <v>5</v>
      </c>
      <c r="L164" s="5">
        <f t="shared" si="2"/>
        <v>89545</v>
      </c>
    </row>
    <row r="165" spans="1:12" x14ac:dyDescent="0.3">
      <c r="A165">
        <v>1279</v>
      </c>
      <c r="B165">
        <v>2017</v>
      </c>
      <c r="C165">
        <v>3014</v>
      </c>
      <c r="D165" t="str">
        <f>VLOOKUP('Sales table'!$A:$A,Customers!$A:$H,2,FALSE)</f>
        <v>Erin Mann</v>
      </c>
      <c r="E165">
        <f>VLOOKUP('Sales table'!$A:$A,Customers!$A:$H,4,FALSE)</f>
        <v>52</v>
      </c>
      <c r="F165" t="str">
        <f>VLOOKUP('Sales table'!$A:$A,Customers!$A:$H,5,FALSE)</f>
        <v>Delhi</v>
      </c>
      <c r="G165" t="str">
        <f>VLOOKUP($B:$B,Products!$A:$D,2,FALSE)</f>
        <v>Handmade Pottery</v>
      </c>
      <c r="H165" t="str">
        <f>VLOOKUP($B:$B,Products!$A:$D,3,FALSE)</f>
        <v>Home Decor</v>
      </c>
      <c r="I165">
        <f>VLOOKUP($B:$B,Products!$A:$D,4,FALSE)</f>
        <v>8186</v>
      </c>
      <c r="J165" s="4">
        <f>VLOOKUP($A:$A,Sales!$B:$H,6,FALSE)</f>
        <v>45611</v>
      </c>
      <c r="K165" s="9">
        <f>VLOOKUP($A:$A,Sales!$B:$H,4,FALSE)</f>
        <v>5</v>
      </c>
      <c r="L165" s="5">
        <f t="shared" si="2"/>
        <v>40930</v>
      </c>
    </row>
    <row r="166" spans="1:12" x14ac:dyDescent="0.3">
      <c r="A166">
        <v>1002</v>
      </c>
      <c r="B166">
        <v>2021</v>
      </c>
      <c r="C166">
        <v>3029</v>
      </c>
      <c r="D166" t="str">
        <f>VLOOKUP('Sales table'!$A:$A,Customers!$A:$H,2,FALSE)</f>
        <v>Scott Chen</v>
      </c>
      <c r="E166">
        <f>VLOOKUP('Sales table'!$A:$A,Customers!$A:$H,4,FALSE)</f>
        <v>21</v>
      </c>
      <c r="F166" t="str">
        <f>VLOOKUP('Sales table'!$A:$A,Customers!$A:$H,5,FALSE)</f>
        <v>Mumbai</v>
      </c>
      <c r="G166" t="str">
        <f>VLOOKUP($B:$B,Products!$A:$D,2,FALSE)</f>
        <v>Smartwatch</v>
      </c>
      <c r="H166" t="str">
        <f>VLOOKUP($B:$B,Products!$A:$D,3,FALSE)</f>
        <v>Electronics</v>
      </c>
      <c r="I166">
        <f>VLOOKUP($B:$B,Products!$A:$D,4,FALSE)</f>
        <v>17586</v>
      </c>
      <c r="J166" s="4">
        <f>VLOOKUP($A:$A,Sales!$B:$H,6,FALSE)</f>
        <v>45598</v>
      </c>
      <c r="K166" s="9">
        <f>VLOOKUP($A:$A,Sales!$B:$H,4,FALSE)</f>
        <v>5</v>
      </c>
      <c r="L166" s="5">
        <f t="shared" si="2"/>
        <v>87930</v>
      </c>
    </row>
    <row r="167" spans="1:12" x14ac:dyDescent="0.3">
      <c r="A167">
        <v>1165</v>
      </c>
      <c r="B167">
        <v>2009</v>
      </c>
      <c r="C167">
        <v>3035</v>
      </c>
      <c r="D167" t="str">
        <f>VLOOKUP('Sales table'!$A:$A,Customers!$A:$H,2,FALSE)</f>
        <v>Amanda Carter</v>
      </c>
      <c r="E167">
        <f>VLOOKUP('Sales table'!$A:$A,Customers!$A:$H,4,FALSE)</f>
        <v>38</v>
      </c>
      <c r="F167" t="str">
        <f>VLOOKUP('Sales table'!$A:$A,Customers!$A:$H,5,FALSE)</f>
        <v>Kolkata</v>
      </c>
      <c r="G167" t="str">
        <f>VLOOKUP($B:$B,Products!$A:$D,2,FALSE)</f>
        <v>Bluetooth Speaker</v>
      </c>
      <c r="H167" t="str">
        <f>VLOOKUP($B:$B,Products!$A:$D,3,FALSE)</f>
        <v>Electronics</v>
      </c>
      <c r="I167">
        <f>VLOOKUP($B:$B,Products!$A:$D,4,FALSE)</f>
        <v>11047</v>
      </c>
      <c r="J167" s="4">
        <f>VLOOKUP($A:$A,Sales!$B:$H,6,FALSE)</f>
        <v>45612</v>
      </c>
      <c r="K167" s="9">
        <f>VLOOKUP($A:$A,Sales!$B:$H,4,FALSE)</f>
        <v>4</v>
      </c>
      <c r="L167" s="5">
        <f t="shared" si="2"/>
        <v>44188</v>
      </c>
    </row>
    <row r="168" spans="1:12" x14ac:dyDescent="0.3">
      <c r="A168">
        <v>1018</v>
      </c>
      <c r="B168">
        <v>2018</v>
      </c>
      <c r="C168">
        <v>3023</v>
      </c>
      <c r="D168" t="str">
        <f>VLOOKUP('Sales table'!$A:$A,Customers!$A:$H,2,FALSE)</f>
        <v>Mariah Kim</v>
      </c>
      <c r="E168">
        <f>VLOOKUP('Sales table'!$A:$A,Customers!$A:$H,4,FALSE)</f>
        <v>34</v>
      </c>
      <c r="F168" t="str">
        <f>VLOOKUP('Sales table'!$A:$A,Customers!$A:$H,5,FALSE)</f>
        <v>Mumbai</v>
      </c>
      <c r="G168" t="str">
        <f>VLOOKUP($B:$B,Products!$A:$D,2,FALSE)</f>
        <v>Dry Fruits Pack</v>
      </c>
      <c r="H168" t="str">
        <f>VLOOKUP($B:$B,Products!$A:$D,3,FALSE)</f>
        <v>Sweets &amp; Gifts</v>
      </c>
      <c r="I168">
        <f>VLOOKUP($B:$B,Products!$A:$D,4,FALSE)</f>
        <v>7243</v>
      </c>
      <c r="J168" s="4">
        <f>VLOOKUP($A:$A,Sales!$B:$H,6,FALSE)</f>
        <v>45610</v>
      </c>
      <c r="K168" s="9">
        <f>VLOOKUP($A:$A,Sales!$B:$H,4,FALSE)</f>
        <v>1</v>
      </c>
      <c r="L168" s="5">
        <f t="shared" si="2"/>
        <v>7243</v>
      </c>
    </row>
    <row r="169" spans="1:12" x14ac:dyDescent="0.3">
      <c r="A169">
        <v>1225</v>
      </c>
      <c r="B169">
        <v>2019</v>
      </c>
      <c r="C169">
        <v>3024</v>
      </c>
      <c r="D169" t="str">
        <f>VLOOKUP('Sales table'!$A:$A,Customers!$A:$H,2,FALSE)</f>
        <v>Robert Perez</v>
      </c>
      <c r="E169">
        <f>VLOOKUP('Sales table'!$A:$A,Customers!$A:$H,4,FALSE)</f>
        <v>39</v>
      </c>
      <c r="F169" t="str">
        <f>VLOOKUP('Sales table'!$A:$A,Customers!$A:$H,5,FALSE)</f>
        <v>Chennai</v>
      </c>
      <c r="G169" t="str">
        <f>VLOOKUP($B:$B,Products!$A:$D,2,FALSE)</f>
        <v>Designer Kurti</v>
      </c>
      <c r="H169" t="str">
        <f>VLOOKUP($B:$B,Products!$A:$D,3,FALSE)</f>
        <v>Clothing</v>
      </c>
      <c r="I169">
        <f>VLOOKUP($B:$B,Products!$A:$D,4,FALSE)</f>
        <v>13620</v>
      </c>
      <c r="J169" s="4">
        <f>VLOOKUP($A:$A,Sales!$B:$H,6,FALSE)</f>
        <v>45578</v>
      </c>
      <c r="K169" s="9">
        <f>VLOOKUP($A:$A,Sales!$B:$H,4,FALSE)</f>
        <v>5</v>
      </c>
      <c r="L169" s="5">
        <f t="shared" si="2"/>
        <v>68100</v>
      </c>
    </row>
    <row r="170" spans="1:12" x14ac:dyDescent="0.3">
      <c r="A170">
        <v>1258</v>
      </c>
      <c r="B170">
        <v>2020</v>
      </c>
      <c r="C170">
        <v>3034</v>
      </c>
      <c r="D170" t="str">
        <f>VLOOKUP('Sales table'!$A:$A,Customers!$A:$H,2,FALSE)</f>
        <v>Corey Lewis</v>
      </c>
      <c r="E170">
        <f>VLOOKUP('Sales table'!$A:$A,Customers!$A:$H,4,FALSE)</f>
        <v>39</v>
      </c>
      <c r="F170" t="str">
        <f>VLOOKUP('Sales table'!$A:$A,Customers!$A:$H,5,FALSE)</f>
        <v>Delhi</v>
      </c>
      <c r="G170" t="str">
        <f>VLOOKUP($B:$B,Products!$A:$D,2,FALSE)</f>
        <v>Ethnic Jewelry</v>
      </c>
      <c r="H170" t="str">
        <f>VLOOKUP($B:$B,Products!$A:$D,3,FALSE)</f>
        <v>Precious Items</v>
      </c>
      <c r="I170">
        <f>VLOOKUP($B:$B,Products!$A:$D,4,FALSE)</f>
        <v>4495</v>
      </c>
      <c r="J170" s="4">
        <f>VLOOKUP($A:$A,Sales!$B:$H,6,FALSE)</f>
        <v>45599</v>
      </c>
      <c r="K170" s="9">
        <f>VLOOKUP($A:$A,Sales!$B:$H,4,FALSE)</f>
        <v>2</v>
      </c>
      <c r="L170" s="5">
        <f t="shared" si="2"/>
        <v>8990</v>
      </c>
    </row>
    <row r="171" spans="1:12" x14ac:dyDescent="0.3">
      <c r="A171">
        <v>1162</v>
      </c>
      <c r="B171">
        <v>2025</v>
      </c>
      <c r="C171">
        <v>3027</v>
      </c>
      <c r="D171" t="str">
        <f>VLOOKUP('Sales table'!$A:$A,Customers!$A:$H,2,FALSE)</f>
        <v>Jamie Jarvis</v>
      </c>
      <c r="E171">
        <f>VLOOKUP('Sales table'!$A:$A,Customers!$A:$H,4,FALSE)</f>
        <v>38</v>
      </c>
      <c r="F171" t="str">
        <f>VLOOKUP('Sales table'!$A:$A,Customers!$A:$H,5,FALSE)</f>
        <v>Kolkata</v>
      </c>
      <c r="G171" t="str">
        <f>VLOOKUP($B:$B,Products!$A:$D,2,FALSE)</f>
        <v>Handbag</v>
      </c>
      <c r="H171" t="str">
        <f>VLOOKUP($B:$B,Products!$A:$D,3,FALSE)</f>
        <v>Accessories</v>
      </c>
      <c r="I171">
        <f>VLOOKUP($B:$B,Products!$A:$D,4,FALSE)</f>
        <v>17019</v>
      </c>
      <c r="J171" s="4">
        <f>VLOOKUP($A:$A,Sales!$B:$H,6,FALSE)</f>
        <v>45586</v>
      </c>
      <c r="K171" s="9">
        <f>VLOOKUP($A:$A,Sales!$B:$H,4,FALSE)</f>
        <v>5</v>
      </c>
      <c r="L171" s="5">
        <f t="shared" si="2"/>
        <v>85095</v>
      </c>
    </row>
    <row r="172" spans="1:12" x14ac:dyDescent="0.3">
      <c r="A172">
        <v>1035</v>
      </c>
      <c r="B172">
        <v>2012</v>
      </c>
      <c r="C172">
        <v>3024</v>
      </c>
      <c r="D172" t="str">
        <f>VLOOKUP('Sales table'!$A:$A,Customers!$A:$H,2,FALSE)</f>
        <v>Debra Robinson</v>
      </c>
      <c r="E172">
        <f>VLOOKUP('Sales table'!$A:$A,Customers!$A:$H,4,FALSE)</f>
        <v>39</v>
      </c>
      <c r="F172" t="str">
        <f>VLOOKUP('Sales table'!$A:$A,Customers!$A:$H,5,FALSE)</f>
        <v>Bangalore</v>
      </c>
      <c r="G172" t="str">
        <f>VLOOKUP($B:$B,Products!$A:$D,2,FALSE)</f>
        <v>Wall Hanging</v>
      </c>
      <c r="H172" t="str">
        <f>VLOOKUP($B:$B,Products!$A:$D,3,FALSE)</f>
        <v>Home Decor</v>
      </c>
      <c r="I172">
        <f>VLOOKUP($B:$B,Products!$A:$D,4,FALSE)</f>
        <v>11867</v>
      </c>
      <c r="J172" s="4">
        <f>VLOOKUP($A:$A,Sales!$B:$H,6,FALSE)</f>
        <v>45610</v>
      </c>
      <c r="K172" s="9">
        <f>VLOOKUP($A:$A,Sales!$B:$H,4,FALSE)</f>
        <v>4</v>
      </c>
      <c r="L172" s="5">
        <f t="shared" si="2"/>
        <v>47468</v>
      </c>
    </row>
    <row r="173" spans="1:12" x14ac:dyDescent="0.3">
      <c r="A173">
        <v>1210</v>
      </c>
      <c r="B173">
        <v>2001</v>
      </c>
      <c r="C173">
        <v>3029</v>
      </c>
      <c r="D173" t="str">
        <f>VLOOKUP('Sales table'!$A:$A,Customers!$A:$H,2,FALSE)</f>
        <v>Laura Wong</v>
      </c>
      <c r="E173">
        <f>VLOOKUP('Sales table'!$A:$A,Customers!$A:$H,4,FALSE)</f>
        <v>55</v>
      </c>
      <c r="F173" t="str">
        <f>VLOOKUP('Sales table'!$A:$A,Customers!$A:$H,5,FALSE)</f>
        <v>Delhi</v>
      </c>
      <c r="G173" t="str">
        <f>VLOOKUP($B:$B,Products!$A:$D,2,FALSE)</f>
        <v>Sweets Box</v>
      </c>
      <c r="H173" t="str">
        <f>VLOOKUP($B:$B,Products!$A:$D,3,FALSE)</f>
        <v>Sweets &amp; Gifts</v>
      </c>
      <c r="I173">
        <f>VLOOKUP($B:$B,Products!$A:$D,4,FALSE)</f>
        <v>7228</v>
      </c>
      <c r="J173" s="4">
        <f>VLOOKUP($A:$A,Sales!$B:$H,6,FALSE)</f>
        <v>45600</v>
      </c>
      <c r="K173" s="9">
        <f>VLOOKUP($A:$A,Sales!$B:$H,4,FALSE)</f>
        <v>2</v>
      </c>
      <c r="L173" s="5">
        <f t="shared" si="2"/>
        <v>14456</v>
      </c>
    </row>
    <row r="174" spans="1:12" x14ac:dyDescent="0.3">
      <c r="A174">
        <v>1098</v>
      </c>
      <c r="B174">
        <v>2015</v>
      </c>
      <c r="C174">
        <v>3004</v>
      </c>
      <c r="D174" t="str">
        <f>VLOOKUP('Sales table'!$A:$A,Customers!$A:$H,2,FALSE)</f>
        <v>Jennifer Taylor</v>
      </c>
      <c r="E174">
        <f>VLOOKUP('Sales table'!$A:$A,Customers!$A:$H,4,FALSE)</f>
        <v>50</v>
      </c>
      <c r="F174" t="str">
        <f>VLOOKUP('Sales table'!$A:$A,Customers!$A:$H,5,FALSE)</f>
        <v>Delhi</v>
      </c>
      <c r="G174" t="str">
        <f>VLOOKUP($B:$B,Products!$A:$D,2,FALSE)</f>
        <v>Candle Set</v>
      </c>
      <c r="H174" t="str">
        <f>VLOOKUP($B:$B,Products!$A:$D,3,FALSE)</f>
        <v>Home Decor</v>
      </c>
      <c r="I174">
        <f>VLOOKUP($B:$B,Products!$A:$D,4,FALSE)</f>
        <v>17604</v>
      </c>
      <c r="J174" s="4">
        <f>VLOOKUP($A:$A,Sales!$B:$H,6,FALSE)</f>
        <v>45591</v>
      </c>
      <c r="K174" s="9">
        <f>VLOOKUP($A:$A,Sales!$B:$H,4,FALSE)</f>
        <v>4</v>
      </c>
      <c r="L174" s="5">
        <f t="shared" si="2"/>
        <v>70416</v>
      </c>
    </row>
    <row r="175" spans="1:12" x14ac:dyDescent="0.3">
      <c r="A175">
        <v>1006</v>
      </c>
      <c r="B175">
        <v>2025</v>
      </c>
      <c r="C175">
        <v>3020</v>
      </c>
      <c r="D175" t="str">
        <f>VLOOKUP('Sales table'!$A:$A,Customers!$A:$H,2,FALSE)</f>
        <v>Melissa Peterson</v>
      </c>
      <c r="E175">
        <f>VLOOKUP('Sales table'!$A:$A,Customers!$A:$H,4,FALSE)</f>
        <v>49</v>
      </c>
      <c r="F175" t="str">
        <f>VLOOKUP('Sales table'!$A:$A,Customers!$A:$H,5,FALSE)</f>
        <v>Delhi</v>
      </c>
      <c r="G175" t="str">
        <f>VLOOKUP($B:$B,Products!$A:$D,2,FALSE)</f>
        <v>Handbag</v>
      </c>
      <c r="H175" t="str">
        <f>VLOOKUP($B:$B,Products!$A:$D,3,FALSE)</f>
        <v>Accessories</v>
      </c>
      <c r="I175">
        <f>VLOOKUP($B:$B,Products!$A:$D,4,FALSE)</f>
        <v>17019</v>
      </c>
      <c r="J175" s="4">
        <f>VLOOKUP($A:$A,Sales!$B:$H,6,FALSE)</f>
        <v>45599</v>
      </c>
      <c r="K175" s="9">
        <f>VLOOKUP($A:$A,Sales!$B:$H,4,FALSE)</f>
        <v>4</v>
      </c>
      <c r="L175" s="5">
        <f t="shared" si="2"/>
        <v>68076</v>
      </c>
    </row>
    <row r="176" spans="1:12" x14ac:dyDescent="0.3">
      <c r="A176">
        <v>1012</v>
      </c>
      <c r="B176">
        <v>2023</v>
      </c>
      <c r="C176">
        <v>3026</v>
      </c>
      <c r="D176" t="str">
        <f>VLOOKUP('Sales table'!$A:$A,Customers!$A:$H,2,FALSE)</f>
        <v>John Dunlap</v>
      </c>
      <c r="E176">
        <f>VLOOKUP('Sales table'!$A:$A,Customers!$A:$H,4,FALSE)</f>
        <v>52</v>
      </c>
      <c r="F176" t="str">
        <f>VLOOKUP('Sales table'!$A:$A,Customers!$A:$H,5,FALSE)</f>
        <v>Delhi</v>
      </c>
      <c r="G176" t="str">
        <f>VLOOKUP($B:$B,Products!$A:$D,2,FALSE)</f>
        <v>Kids Wear</v>
      </c>
      <c r="H176" t="str">
        <f>VLOOKUP($B:$B,Products!$A:$D,3,FALSE)</f>
        <v>Clothing</v>
      </c>
      <c r="I176">
        <f>VLOOKUP($B:$B,Products!$A:$D,4,FALSE)</f>
        <v>4794</v>
      </c>
      <c r="J176" s="4">
        <f>VLOOKUP($A:$A,Sales!$B:$H,6,FALSE)</f>
        <v>45601</v>
      </c>
      <c r="K176" s="9">
        <f>VLOOKUP($A:$A,Sales!$B:$H,4,FALSE)</f>
        <v>2</v>
      </c>
      <c r="L176" s="5">
        <f t="shared" si="2"/>
        <v>9588</v>
      </c>
    </row>
    <row r="177" spans="1:12" x14ac:dyDescent="0.3">
      <c r="A177">
        <v>1019</v>
      </c>
      <c r="B177">
        <v>2007</v>
      </c>
      <c r="C177">
        <v>3007</v>
      </c>
      <c r="D177" t="str">
        <f>VLOOKUP('Sales table'!$A:$A,Customers!$A:$H,2,FALSE)</f>
        <v>Brenda Dunn</v>
      </c>
      <c r="E177">
        <f>VLOOKUP('Sales table'!$A:$A,Customers!$A:$H,4,FALSE)</f>
        <v>23</v>
      </c>
      <c r="F177" t="str">
        <f>VLOOKUP('Sales table'!$A:$A,Customers!$A:$H,5,FALSE)</f>
        <v>Pune</v>
      </c>
      <c r="G177" t="str">
        <f>VLOOKUP($B:$B,Products!$A:$D,2,FALSE)</f>
        <v>Gift Hamper</v>
      </c>
      <c r="H177" t="str">
        <f>VLOOKUP($B:$B,Products!$A:$D,3,FALSE)</f>
        <v>Sweets &amp; Gifts</v>
      </c>
      <c r="I177">
        <f>VLOOKUP($B:$B,Products!$A:$D,4,FALSE)</f>
        <v>3412</v>
      </c>
      <c r="J177" s="4">
        <f>VLOOKUP($A:$A,Sales!$B:$H,6,FALSE)</f>
        <v>45607</v>
      </c>
      <c r="K177" s="9">
        <f>VLOOKUP($A:$A,Sales!$B:$H,4,FALSE)</f>
        <v>3</v>
      </c>
      <c r="L177" s="5">
        <f t="shared" si="2"/>
        <v>10236</v>
      </c>
    </row>
    <row r="178" spans="1:12" x14ac:dyDescent="0.3">
      <c r="A178">
        <v>1104</v>
      </c>
      <c r="B178">
        <v>2019</v>
      </c>
      <c r="C178">
        <v>3004</v>
      </c>
      <c r="D178" t="str">
        <f>VLOOKUP('Sales table'!$A:$A,Customers!$A:$H,2,FALSE)</f>
        <v>Gabriel Mcdonald</v>
      </c>
      <c r="E178">
        <f>VLOOKUP('Sales table'!$A:$A,Customers!$A:$H,4,FALSE)</f>
        <v>50</v>
      </c>
      <c r="F178" t="str">
        <f>VLOOKUP('Sales table'!$A:$A,Customers!$A:$H,5,FALSE)</f>
        <v>Hyderabad</v>
      </c>
      <c r="G178" t="str">
        <f>VLOOKUP($B:$B,Products!$A:$D,2,FALSE)</f>
        <v>Designer Kurti</v>
      </c>
      <c r="H178" t="str">
        <f>VLOOKUP($B:$B,Products!$A:$D,3,FALSE)</f>
        <v>Clothing</v>
      </c>
      <c r="I178">
        <f>VLOOKUP($B:$B,Products!$A:$D,4,FALSE)</f>
        <v>13620</v>
      </c>
      <c r="J178" s="4">
        <f>VLOOKUP($A:$A,Sales!$B:$H,6,FALSE)</f>
        <v>45605</v>
      </c>
      <c r="K178" s="9">
        <f>VLOOKUP($A:$A,Sales!$B:$H,4,FALSE)</f>
        <v>1</v>
      </c>
      <c r="L178" s="5">
        <f t="shared" si="2"/>
        <v>13620</v>
      </c>
    </row>
    <row r="179" spans="1:12" x14ac:dyDescent="0.3">
      <c r="A179">
        <v>1191</v>
      </c>
      <c r="B179">
        <v>2021</v>
      </c>
      <c r="C179">
        <v>3018</v>
      </c>
      <c r="D179" t="str">
        <f>VLOOKUP('Sales table'!$A:$A,Customers!$A:$H,2,FALSE)</f>
        <v>Rebekah Caldwell</v>
      </c>
      <c r="E179">
        <f>VLOOKUP('Sales table'!$A:$A,Customers!$A:$H,4,FALSE)</f>
        <v>64</v>
      </c>
      <c r="F179" t="str">
        <f>VLOOKUP('Sales table'!$A:$A,Customers!$A:$H,5,FALSE)</f>
        <v>Pune</v>
      </c>
      <c r="G179" t="str">
        <f>VLOOKUP($B:$B,Products!$A:$D,2,FALSE)</f>
        <v>Smartwatch</v>
      </c>
      <c r="H179" t="str">
        <f>VLOOKUP($B:$B,Products!$A:$D,3,FALSE)</f>
        <v>Electronics</v>
      </c>
      <c r="I179">
        <f>VLOOKUP($B:$B,Products!$A:$D,4,FALSE)</f>
        <v>17586</v>
      </c>
      <c r="J179" s="4">
        <f>VLOOKUP($A:$A,Sales!$B:$H,6,FALSE)</f>
        <v>45589</v>
      </c>
      <c r="K179" s="9">
        <f>VLOOKUP($A:$A,Sales!$B:$H,4,FALSE)</f>
        <v>4</v>
      </c>
      <c r="L179" s="5">
        <f t="shared" si="2"/>
        <v>70344</v>
      </c>
    </row>
    <row r="180" spans="1:12" x14ac:dyDescent="0.3">
      <c r="A180">
        <v>1163</v>
      </c>
      <c r="B180">
        <v>2002</v>
      </c>
      <c r="C180">
        <v>3019</v>
      </c>
      <c r="D180" t="str">
        <f>VLOOKUP('Sales table'!$A:$A,Customers!$A:$H,2,FALSE)</f>
        <v>Amy Hernandez</v>
      </c>
      <c r="E180">
        <f>VLOOKUP('Sales table'!$A:$A,Customers!$A:$H,4,FALSE)</f>
        <v>18</v>
      </c>
      <c r="F180" t="str">
        <f>VLOOKUP('Sales table'!$A:$A,Customers!$A:$H,5,FALSE)</f>
        <v>Chennai</v>
      </c>
      <c r="G180" t="str">
        <f>VLOOKUP($B:$B,Products!$A:$D,2,FALSE)</f>
        <v>Saree</v>
      </c>
      <c r="H180" t="str">
        <f>VLOOKUP($B:$B,Products!$A:$D,3,FALSE)</f>
        <v>Clothing</v>
      </c>
      <c r="I180">
        <f>VLOOKUP($B:$B,Products!$A:$D,4,FALSE)</f>
        <v>9534</v>
      </c>
      <c r="J180" s="4">
        <f>VLOOKUP($A:$A,Sales!$B:$H,6,FALSE)</f>
        <v>45605</v>
      </c>
      <c r="K180" s="9">
        <f>VLOOKUP($A:$A,Sales!$B:$H,4,FALSE)</f>
        <v>4</v>
      </c>
      <c r="L180" s="5">
        <f t="shared" si="2"/>
        <v>38136</v>
      </c>
    </row>
    <row r="181" spans="1:12" x14ac:dyDescent="0.3">
      <c r="A181">
        <v>1198</v>
      </c>
      <c r="B181">
        <v>2016</v>
      </c>
      <c r="C181">
        <v>3033</v>
      </c>
      <c r="D181" t="str">
        <f>VLOOKUP('Sales table'!$A:$A,Customers!$A:$H,2,FALSE)</f>
        <v>Eric Lopez</v>
      </c>
      <c r="E181">
        <f>VLOOKUP('Sales table'!$A:$A,Customers!$A:$H,4,FALSE)</f>
        <v>60</v>
      </c>
      <c r="F181" t="str">
        <f>VLOOKUP('Sales table'!$A:$A,Customers!$A:$H,5,FALSE)</f>
        <v>Bangalore</v>
      </c>
      <c r="G181" t="str">
        <f>VLOOKUP($B:$B,Products!$A:$D,2,FALSE)</f>
        <v>Fairy Lights</v>
      </c>
      <c r="H181" t="str">
        <f>VLOOKUP($B:$B,Products!$A:$D,3,FALSE)</f>
        <v>Home Decor</v>
      </c>
      <c r="I181">
        <f>VLOOKUP($B:$B,Products!$A:$D,4,FALSE)</f>
        <v>12242</v>
      </c>
      <c r="J181" s="4">
        <f>VLOOKUP($A:$A,Sales!$B:$H,6,FALSE)</f>
        <v>45575</v>
      </c>
      <c r="K181" s="9">
        <f>VLOOKUP($A:$A,Sales!$B:$H,4,FALSE)</f>
        <v>1</v>
      </c>
      <c r="L181" s="5">
        <f t="shared" si="2"/>
        <v>12242</v>
      </c>
    </row>
    <row r="182" spans="1:12" x14ac:dyDescent="0.3">
      <c r="A182">
        <v>1278</v>
      </c>
      <c r="B182">
        <v>2012</v>
      </c>
      <c r="C182">
        <v>3032</v>
      </c>
      <c r="D182" t="str">
        <f>VLOOKUP('Sales table'!$A:$A,Customers!$A:$H,2,FALSE)</f>
        <v>Jessica Coleman</v>
      </c>
      <c r="E182">
        <f>VLOOKUP('Sales table'!$A:$A,Customers!$A:$H,4,FALSE)</f>
        <v>21</v>
      </c>
      <c r="F182" t="str">
        <f>VLOOKUP('Sales table'!$A:$A,Customers!$A:$H,5,FALSE)</f>
        <v>Kolkata</v>
      </c>
      <c r="G182" t="str">
        <f>VLOOKUP($B:$B,Products!$A:$D,2,FALSE)</f>
        <v>Wall Hanging</v>
      </c>
      <c r="H182" t="str">
        <f>VLOOKUP($B:$B,Products!$A:$D,3,FALSE)</f>
        <v>Home Decor</v>
      </c>
      <c r="I182">
        <f>VLOOKUP($B:$B,Products!$A:$D,4,FALSE)</f>
        <v>11867</v>
      </c>
      <c r="J182" s="4">
        <f>VLOOKUP($A:$A,Sales!$B:$H,6,FALSE)</f>
        <v>45613</v>
      </c>
      <c r="K182" s="9">
        <f>VLOOKUP($A:$A,Sales!$B:$H,4,FALSE)</f>
        <v>3</v>
      </c>
      <c r="L182" s="5">
        <f t="shared" si="2"/>
        <v>35601</v>
      </c>
    </row>
    <row r="183" spans="1:12" x14ac:dyDescent="0.3">
      <c r="A183">
        <v>1238</v>
      </c>
      <c r="B183">
        <v>2008</v>
      </c>
      <c r="C183">
        <v>3021</v>
      </c>
      <c r="D183" t="str">
        <f>VLOOKUP('Sales table'!$A:$A,Customers!$A:$H,2,FALSE)</f>
        <v>Steven Hogan</v>
      </c>
      <c r="E183">
        <f>VLOOKUP('Sales table'!$A:$A,Customers!$A:$H,4,FALSE)</f>
        <v>46</v>
      </c>
      <c r="F183" t="str">
        <f>VLOOKUP('Sales table'!$A:$A,Customers!$A:$H,5,FALSE)</f>
        <v>Chennai</v>
      </c>
      <c r="G183" t="str">
        <f>VLOOKUP($B:$B,Products!$A:$D,2,FALSE)</f>
        <v>Earthen Diyas</v>
      </c>
      <c r="H183" t="str">
        <f>VLOOKUP($B:$B,Products!$A:$D,3,FALSE)</f>
        <v>Home Decor</v>
      </c>
      <c r="I183">
        <f>VLOOKUP($B:$B,Products!$A:$D,4,FALSE)</f>
        <v>2136</v>
      </c>
      <c r="J183" s="4">
        <f>VLOOKUP($A:$A,Sales!$B:$H,6,FALSE)</f>
        <v>45602</v>
      </c>
      <c r="K183" s="9">
        <f>VLOOKUP($A:$A,Sales!$B:$H,4,FALSE)</f>
        <v>3</v>
      </c>
      <c r="L183" s="5">
        <f t="shared" si="2"/>
        <v>6408</v>
      </c>
    </row>
    <row r="184" spans="1:12" x14ac:dyDescent="0.3">
      <c r="A184">
        <v>1197</v>
      </c>
      <c r="B184">
        <v>2008</v>
      </c>
      <c r="C184">
        <v>3006</v>
      </c>
      <c r="D184" t="str">
        <f>VLOOKUP('Sales table'!$A:$A,Customers!$A:$H,2,FALSE)</f>
        <v>Daniel Price</v>
      </c>
      <c r="E184">
        <f>VLOOKUP('Sales table'!$A:$A,Customers!$A:$H,4,FALSE)</f>
        <v>25</v>
      </c>
      <c r="F184" t="str">
        <f>VLOOKUP('Sales table'!$A:$A,Customers!$A:$H,5,FALSE)</f>
        <v>Kolkata</v>
      </c>
      <c r="G184" t="str">
        <f>VLOOKUP($B:$B,Products!$A:$D,2,FALSE)</f>
        <v>Earthen Diyas</v>
      </c>
      <c r="H184" t="str">
        <f>VLOOKUP($B:$B,Products!$A:$D,3,FALSE)</f>
        <v>Home Decor</v>
      </c>
      <c r="I184">
        <f>VLOOKUP($B:$B,Products!$A:$D,4,FALSE)</f>
        <v>2136</v>
      </c>
      <c r="J184" s="4">
        <f>VLOOKUP($A:$A,Sales!$B:$H,6,FALSE)</f>
        <v>45612</v>
      </c>
      <c r="K184" s="9">
        <f>VLOOKUP($A:$A,Sales!$B:$H,4,FALSE)</f>
        <v>5</v>
      </c>
      <c r="L184" s="5">
        <f t="shared" si="2"/>
        <v>10680</v>
      </c>
    </row>
    <row r="185" spans="1:12" x14ac:dyDescent="0.3">
      <c r="A185">
        <v>1233</v>
      </c>
      <c r="B185">
        <v>2023</v>
      </c>
      <c r="C185">
        <v>3015</v>
      </c>
      <c r="D185" t="str">
        <f>VLOOKUP('Sales table'!$A:$A,Customers!$A:$H,2,FALSE)</f>
        <v>Matthew Jennings</v>
      </c>
      <c r="E185">
        <f>VLOOKUP('Sales table'!$A:$A,Customers!$A:$H,4,FALSE)</f>
        <v>65</v>
      </c>
      <c r="F185" t="str">
        <f>VLOOKUP('Sales table'!$A:$A,Customers!$A:$H,5,FALSE)</f>
        <v>Bangalore</v>
      </c>
      <c r="G185" t="str">
        <f>VLOOKUP($B:$B,Products!$A:$D,2,FALSE)</f>
        <v>Kids Wear</v>
      </c>
      <c r="H185" t="str">
        <f>VLOOKUP($B:$B,Products!$A:$D,3,FALSE)</f>
        <v>Clothing</v>
      </c>
      <c r="I185">
        <f>VLOOKUP($B:$B,Products!$A:$D,4,FALSE)</f>
        <v>4794</v>
      </c>
      <c r="J185" s="4">
        <f>VLOOKUP($A:$A,Sales!$B:$H,6,FALSE)</f>
        <v>45593</v>
      </c>
      <c r="K185" s="9">
        <f>VLOOKUP($A:$A,Sales!$B:$H,4,FALSE)</f>
        <v>3</v>
      </c>
      <c r="L185" s="5">
        <f t="shared" si="2"/>
        <v>14382</v>
      </c>
    </row>
    <row r="186" spans="1:12" x14ac:dyDescent="0.3">
      <c r="A186">
        <v>1050</v>
      </c>
      <c r="B186">
        <v>2013</v>
      </c>
      <c r="C186">
        <v>3009</v>
      </c>
      <c r="D186" t="str">
        <f>VLOOKUP('Sales table'!$A:$A,Customers!$A:$H,2,FALSE)</f>
        <v>Ronald Gonzalez</v>
      </c>
      <c r="E186">
        <f>VLOOKUP('Sales table'!$A:$A,Customers!$A:$H,4,FALSE)</f>
        <v>46</v>
      </c>
      <c r="F186" t="str">
        <f>VLOOKUP('Sales table'!$A:$A,Customers!$A:$H,5,FALSE)</f>
        <v>Chennai</v>
      </c>
      <c r="G186" t="str">
        <f>VLOOKUP($B:$B,Products!$A:$D,2,FALSE)</f>
        <v>Silver Coin</v>
      </c>
      <c r="H186" t="str">
        <f>VLOOKUP($B:$B,Products!$A:$D,3,FALSE)</f>
        <v>Precious Items</v>
      </c>
      <c r="I186">
        <f>VLOOKUP($B:$B,Products!$A:$D,4,FALSE)</f>
        <v>11845</v>
      </c>
      <c r="J186" s="4">
        <f>VLOOKUP($A:$A,Sales!$B:$H,6,FALSE)</f>
        <v>45589</v>
      </c>
      <c r="K186" s="9">
        <f>VLOOKUP($A:$A,Sales!$B:$H,4,FALSE)</f>
        <v>4</v>
      </c>
      <c r="L186" s="5">
        <f t="shared" si="2"/>
        <v>47380</v>
      </c>
    </row>
    <row r="187" spans="1:12" x14ac:dyDescent="0.3">
      <c r="A187">
        <v>1066</v>
      </c>
      <c r="B187">
        <v>2003</v>
      </c>
      <c r="C187">
        <v>3004</v>
      </c>
      <c r="D187" t="str">
        <f>VLOOKUP('Sales table'!$A:$A,Customers!$A:$H,2,FALSE)</f>
        <v>Susan Green</v>
      </c>
      <c r="E187">
        <f>VLOOKUP('Sales table'!$A:$A,Customers!$A:$H,4,FALSE)</f>
        <v>38</v>
      </c>
      <c r="F187" t="str">
        <f>VLOOKUP('Sales table'!$A:$A,Customers!$A:$H,5,FALSE)</f>
        <v>Delhi</v>
      </c>
      <c r="G187" t="str">
        <f>VLOOKUP($B:$B,Products!$A:$D,2,FALSE)</f>
        <v>Kurta</v>
      </c>
      <c r="H187" t="str">
        <f>VLOOKUP($B:$B,Products!$A:$D,3,FALSE)</f>
        <v>Clothing</v>
      </c>
      <c r="I187">
        <f>VLOOKUP($B:$B,Products!$A:$D,4,FALSE)</f>
        <v>13241</v>
      </c>
      <c r="J187" s="4">
        <f>VLOOKUP($A:$A,Sales!$B:$H,6,FALSE)</f>
        <v>45606</v>
      </c>
      <c r="K187" s="9">
        <f>VLOOKUP($A:$A,Sales!$B:$H,4,FALSE)</f>
        <v>1</v>
      </c>
      <c r="L187" s="5">
        <f t="shared" si="2"/>
        <v>13241</v>
      </c>
    </row>
    <row r="188" spans="1:12" x14ac:dyDescent="0.3">
      <c r="A188">
        <v>1136</v>
      </c>
      <c r="B188">
        <v>2017</v>
      </c>
      <c r="C188">
        <v>3008</v>
      </c>
      <c r="D188" t="str">
        <f>VLOOKUP('Sales table'!$A:$A,Customers!$A:$H,2,FALSE)</f>
        <v>Brooke Oliver</v>
      </c>
      <c r="E188">
        <f>VLOOKUP('Sales table'!$A:$A,Customers!$A:$H,4,FALSE)</f>
        <v>30</v>
      </c>
      <c r="F188" t="str">
        <f>VLOOKUP('Sales table'!$A:$A,Customers!$A:$H,5,FALSE)</f>
        <v>Chennai</v>
      </c>
      <c r="G188" t="str">
        <f>VLOOKUP($B:$B,Products!$A:$D,2,FALSE)</f>
        <v>Handmade Pottery</v>
      </c>
      <c r="H188" t="str">
        <f>VLOOKUP($B:$B,Products!$A:$D,3,FALSE)</f>
        <v>Home Decor</v>
      </c>
      <c r="I188">
        <f>VLOOKUP($B:$B,Products!$A:$D,4,FALSE)</f>
        <v>8186</v>
      </c>
      <c r="J188" s="4">
        <f>VLOOKUP($A:$A,Sales!$B:$H,6,FALSE)</f>
        <v>45587</v>
      </c>
      <c r="K188" s="9">
        <f>VLOOKUP($A:$A,Sales!$B:$H,4,FALSE)</f>
        <v>4</v>
      </c>
      <c r="L188" s="5">
        <f t="shared" si="2"/>
        <v>32744</v>
      </c>
    </row>
    <row r="189" spans="1:12" x14ac:dyDescent="0.3">
      <c r="A189">
        <v>1046</v>
      </c>
      <c r="B189">
        <v>2008</v>
      </c>
      <c r="C189">
        <v>3002</v>
      </c>
      <c r="D189" t="str">
        <f>VLOOKUP('Sales table'!$A:$A,Customers!$A:$H,2,FALSE)</f>
        <v>Leslie Little</v>
      </c>
      <c r="E189">
        <f>VLOOKUP('Sales table'!$A:$A,Customers!$A:$H,4,FALSE)</f>
        <v>34</v>
      </c>
      <c r="F189" t="str">
        <f>VLOOKUP('Sales table'!$A:$A,Customers!$A:$H,5,FALSE)</f>
        <v>Chennai</v>
      </c>
      <c r="G189" t="str">
        <f>VLOOKUP($B:$B,Products!$A:$D,2,FALSE)</f>
        <v>Earthen Diyas</v>
      </c>
      <c r="H189" t="str">
        <f>VLOOKUP($B:$B,Products!$A:$D,3,FALSE)</f>
        <v>Home Decor</v>
      </c>
      <c r="I189">
        <f>VLOOKUP($B:$B,Products!$A:$D,4,FALSE)</f>
        <v>2136</v>
      </c>
      <c r="J189" s="4">
        <f>VLOOKUP($A:$A,Sales!$B:$H,6,FALSE)</f>
        <v>45610</v>
      </c>
      <c r="K189" s="9">
        <f>VLOOKUP($A:$A,Sales!$B:$H,4,FALSE)</f>
        <v>5</v>
      </c>
      <c r="L189" s="5">
        <f t="shared" si="2"/>
        <v>10680</v>
      </c>
    </row>
    <row r="190" spans="1:12" x14ac:dyDescent="0.3">
      <c r="A190">
        <v>1121</v>
      </c>
      <c r="B190">
        <v>2014</v>
      </c>
      <c r="C190">
        <v>3030</v>
      </c>
      <c r="D190" t="str">
        <f>VLOOKUP('Sales table'!$A:$A,Customers!$A:$H,2,FALSE)</f>
        <v>Vincent Fuller</v>
      </c>
      <c r="E190">
        <f>VLOOKUP('Sales table'!$A:$A,Customers!$A:$H,4,FALSE)</f>
        <v>25</v>
      </c>
      <c r="F190" t="str">
        <f>VLOOKUP('Sales table'!$A:$A,Customers!$A:$H,5,FALSE)</f>
        <v>Delhi</v>
      </c>
      <c r="G190" t="str">
        <f>VLOOKUP($B:$B,Products!$A:$D,2,FALSE)</f>
        <v>Gold Coin</v>
      </c>
      <c r="H190" t="str">
        <f>VLOOKUP($B:$B,Products!$A:$D,3,FALSE)</f>
        <v>Precious Items</v>
      </c>
      <c r="I190">
        <f>VLOOKUP($B:$B,Products!$A:$D,4,FALSE)</f>
        <v>13823</v>
      </c>
      <c r="J190" s="4">
        <f>VLOOKUP($A:$A,Sales!$B:$H,6,FALSE)</f>
        <v>45577</v>
      </c>
      <c r="K190" s="9">
        <f>VLOOKUP($A:$A,Sales!$B:$H,4,FALSE)</f>
        <v>2</v>
      </c>
      <c r="L190" s="5">
        <f t="shared" si="2"/>
        <v>27646</v>
      </c>
    </row>
    <row r="191" spans="1:12" x14ac:dyDescent="0.3">
      <c r="A191">
        <v>1186</v>
      </c>
      <c r="B191">
        <v>2024</v>
      </c>
      <c r="C191">
        <v>3016</v>
      </c>
      <c r="D191" t="str">
        <f>VLOOKUP('Sales table'!$A:$A,Customers!$A:$H,2,FALSE)</f>
        <v>Molly Hansen</v>
      </c>
      <c r="E191">
        <f>VLOOKUP('Sales table'!$A:$A,Customers!$A:$H,4,FALSE)</f>
        <v>50</v>
      </c>
      <c r="F191" t="str">
        <f>VLOOKUP('Sales table'!$A:$A,Customers!$A:$H,5,FALSE)</f>
        <v>Chennai</v>
      </c>
      <c r="G191" t="str">
        <f>VLOOKUP($B:$B,Products!$A:$D,2,FALSE)</f>
        <v>Perfume Gift Set</v>
      </c>
      <c r="H191" t="str">
        <f>VLOOKUP($B:$B,Products!$A:$D,3,FALSE)</f>
        <v>Accessories</v>
      </c>
      <c r="I191">
        <f>VLOOKUP($B:$B,Products!$A:$D,4,FALSE)</f>
        <v>16272</v>
      </c>
      <c r="J191" s="4">
        <f>VLOOKUP($A:$A,Sales!$B:$H,6,FALSE)</f>
        <v>45604</v>
      </c>
      <c r="K191" s="9">
        <f>VLOOKUP($A:$A,Sales!$B:$H,4,FALSE)</f>
        <v>5</v>
      </c>
      <c r="L191" s="5">
        <f t="shared" si="2"/>
        <v>81360</v>
      </c>
    </row>
    <row r="192" spans="1:12" x14ac:dyDescent="0.3">
      <c r="A192">
        <v>1112</v>
      </c>
      <c r="B192">
        <v>2011</v>
      </c>
      <c r="C192">
        <v>3015</v>
      </c>
      <c r="D192" t="str">
        <f>VLOOKUP('Sales table'!$A:$A,Customers!$A:$H,2,FALSE)</f>
        <v>Ashley Lane</v>
      </c>
      <c r="E192">
        <f>VLOOKUP('Sales table'!$A:$A,Customers!$A:$H,4,FALSE)</f>
        <v>39</v>
      </c>
      <c r="F192" t="str">
        <f>VLOOKUP('Sales table'!$A:$A,Customers!$A:$H,5,FALSE)</f>
        <v>Bangalore</v>
      </c>
      <c r="G192" t="str">
        <f>VLOOKUP($B:$B,Products!$A:$D,2,FALSE)</f>
        <v>Festive Thali</v>
      </c>
      <c r="H192" t="str">
        <f>VLOOKUP($B:$B,Products!$A:$D,3,FALSE)</f>
        <v>Other</v>
      </c>
      <c r="I192">
        <f>VLOOKUP($B:$B,Products!$A:$D,4,FALSE)</f>
        <v>7481</v>
      </c>
      <c r="J192" s="4">
        <f>VLOOKUP($A:$A,Sales!$B:$H,6,FALSE)</f>
        <v>45577</v>
      </c>
      <c r="K192" s="9">
        <f>VLOOKUP($A:$A,Sales!$B:$H,4,FALSE)</f>
        <v>4</v>
      </c>
      <c r="L192" s="5">
        <f t="shared" si="2"/>
        <v>29924</v>
      </c>
    </row>
    <row r="193" spans="1:12" x14ac:dyDescent="0.3">
      <c r="A193">
        <v>1026</v>
      </c>
      <c r="B193">
        <v>2004</v>
      </c>
      <c r="C193">
        <v>3027</v>
      </c>
      <c r="D193" t="str">
        <f>VLOOKUP('Sales table'!$A:$A,Customers!$A:$H,2,FALSE)</f>
        <v>Joshua Clark</v>
      </c>
      <c r="E193">
        <f>VLOOKUP('Sales table'!$A:$A,Customers!$A:$H,4,FALSE)</f>
        <v>46</v>
      </c>
      <c r="F193" t="str">
        <f>VLOOKUP('Sales table'!$A:$A,Customers!$A:$H,5,FALSE)</f>
        <v>Mumbai</v>
      </c>
      <c r="G193" t="str">
        <f>VLOOKUP($B:$B,Products!$A:$D,2,FALSE)</f>
        <v>Smartphone</v>
      </c>
      <c r="H193" t="str">
        <f>VLOOKUP($B:$B,Products!$A:$D,3,FALSE)</f>
        <v>Electronics</v>
      </c>
      <c r="I193">
        <f>VLOOKUP($B:$B,Products!$A:$D,4,FALSE)</f>
        <v>4952</v>
      </c>
      <c r="J193" s="4">
        <f>VLOOKUP($A:$A,Sales!$B:$H,6,FALSE)</f>
        <v>45611</v>
      </c>
      <c r="K193" s="9">
        <f>VLOOKUP($A:$A,Sales!$B:$H,4,FALSE)</f>
        <v>1</v>
      </c>
      <c r="L193" s="5">
        <f t="shared" si="2"/>
        <v>4952</v>
      </c>
    </row>
    <row r="194" spans="1:12" x14ac:dyDescent="0.3">
      <c r="A194">
        <v>1193</v>
      </c>
      <c r="B194">
        <v>2012</v>
      </c>
      <c r="C194">
        <v>3020</v>
      </c>
      <c r="D194" t="str">
        <f>VLOOKUP('Sales table'!$A:$A,Customers!$A:$H,2,FALSE)</f>
        <v>Margaret Schwartz</v>
      </c>
      <c r="E194">
        <f>VLOOKUP('Sales table'!$A:$A,Customers!$A:$H,4,FALSE)</f>
        <v>25</v>
      </c>
      <c r="F194" t="str">
        <f>VLOOKUP('Sales table'!$A:$A,Customers!$A:$H,5,FALSE)</f>
        <v>Mumbai</v>
      </c>
      <c r="G194" t="str">
        <f>VLOOKUP($B:$B,Products!$A:$D,2,FALSE)</f>
        <v>Wall Hanging</v>
      </c>
      <c r="H194" t="str">
        <f>VLOOKUP($B:$B,Products!$A:$D,3,FALSE)</f>
        <v>Home Decor</v>
      </c>
      <c r="I194">
        <f>VLOOKUP($B:$B,Products!$A:$D,4,FALSE)</f>
        <v>11867</v>
      </c>
      <c r="J194" s="4">
        <f>VLOOKUP($A:$A,Sales!$B:$H,6,FALSE)</f>
        <v>45598</v>
      </c>
      <c r="K194" s="9">
        <f>VLOOKUP($A:$A,Sales!$B:$H,4,FALSE)</f>
        <v>5</v>
      </c>
      <c r="L194" s="5">
        <f t="shared" si="2"/>
        <v>59335</v>
      </c>
    </row>
    <row r="195" spans="1:12" x14ac:dyDescent="0.3">
      <c r="A195">
        <v>1141</v>
      </c>
      <c r="B195">
        <v>2023</v>
      </c>
      <c r="C195">
        <v>3006</v>
      </c>
      <c r="D195" t="str">
        <f>VLOOKUP('Sales table'!$A:$A,Customers!$A:$H,2,FALSE)</f>
        <v>Pamela Smith</v>
      </c>
      <c r="E195">
        <f>VLOOKUP('Sales table'!$A:$A,Customers!$A:$H,4,FALSE)</f>
        <v>40</v>
      </c>
      <c r="F195" t="str">
        <f>VLOOKUP('Sales table'!$A:$A,Customers!$A:$H,5,FALSE)</f>
        <v>Bangalore</v>
      </c>
      <c r="G195" t="str">
        <f>VLOOKUP($B:$B,Products!$A:$D,2,FALSE)</f>
        <v>Kids Wear</v>
      </c>
      <c r="H195" t="str">
        <f>VLOOKUP($B:$B,Products!$A:$D,3,FALSE)</f>
        <v>Clothing</v>
      </c>
      <c r="I195">
        <f>VLOOKUP($B:$B,Products!$A:$D,4,FALSE)</f>
        <v>4794</v>
      </c>
      <c r="J195" s="4">
        <f>VLOOKUP($A:$A,Sales!$B:$H,6,FALSE)</f>
        <v>45584</v>
      </c>
      <c r="K195" s="9">
        <f>VLOOKUP($A:$A,Sales!$B:$H,4,FALSE)</f>
        <v>5</v>
      </c>
      <c r="L195" s="5">
        <f t="shared" ref="L195:L258" si="3">I195*K195</f>
        <v>23970</v>
      </c>
    </row>
    <row r="196" spans="1:12" x14ac:dyDescent="0.3">
      <c r="A196">
        <v>1043</v>
      </c>
      <c r="B196">
        <v>2005</v>
      </c>
      <c r="C196">
        <v>3030</v>
      </c>
      <c r="D196" t="str">
        <f>VLOOKUP('Sales table'!$A:$A,Customers!$A:$H,2,FALSE)</f>
        <v>Brenda Foster</v>
      </c>
      <c r="E196">
        <f>VLOOKUP('Sales table'!$A:$A,Customers!$A:$H,4,FALSE)</f>
        <v>49</v>
      </c>
      <c r="F196" t="str">
        <f>VLOOKUP('Sales table'!$A:$A,Customers!$A:$H,5,FALSE)</f>
        <v>Bangalore</v>
      </c>
      <c r="G196" t="str">
        <f>VLOOKUP($B:$B,Products!$A:$D,2,FALSE)</f>
        <v>LED Lamp</v>
      </c>
      <c r="H196" t="str">
        <f>VLOOKUP($B:$B,Products!$A:$D,3,FALSE)</f>
        <v>Home Decor</v>
      </c>
      <c r="I196">
        <f>VLOOKUP($B:$B,Products!$A:$D,4,FALSE)</f>
        <v>3828</v>
      </c>
      <c r="J196" s="4">
        <f>VLOOKUP($A:$A,Sales!$B:$H,6,FALSE)</f>
        <v>45601</v>
      </c>
      <c r="K196" s="9">
        <f>VLOOKUP($A:$A,Sales!$B:$H,4,FALSE)</f>
        <v>2</v>
      </c>
      <c r="L196" s="5">
        <f t="shared" si="3"/>
        <v>7656</v>
      </c>
    </row>
    <row r="197" spans="1:12" x14ac:dyDescent="0.3">
      <c r="A197">
        <v>1175</v>
      </c>
      <c r="B197">
        <v>2002</v>
      </c>
      <c r="C197">
        <v>3030</v>
      </c>
      <c r="D197" t="str">
        <f>VLOOKUP('Sales table'!$A:$A,Customers!$A:$H,2,FALSE)</f>
        <v>Jeffrey Smith</v>
      </c>
      <c r="E197">
        <f>VLOOKUP('Sales table'!$A:$A,Customers!$A:$H,4,FALSE)</f>
        <v>51</v>
      </c>
      <c r="F197" t="str">
        <f>VLOOKUP('Sales table'!$A:$A,Customers!$A:$H,5,FALSE)</f>
        <v>Kolkata</v>
      </c>
      <c r="G197" t="str">
        <f>VLOOKUP($B:$B,Products!$A:$D,2,FALSE)</f>
        <v>Saree</v>
      </c>
      <c r="H197" t="str">
        <f>VLOOKUP($B:$B,Products!$A:$D,3,FALSE)</f>
        <v>Clothing</v>
      </c>
      <c r="I197">
        <f>VLOOKUP($B:$B,Products!$A:$D,4,FALSE)</f>
        <v>9534</v>
      </c>
      <c r="J197" s="4">
        <f>VLOOKUP($A:$A,Sales!$B:$H,6,FALSE)</f>
        <v>45611</v>
      </c>
      <c r="K197" s="9">
        <f>VLOOKUP($A:$A,Sales!$B:$H,4,FALSE)</f>
        <v>4</v>
      </c>
      <c r="L197" s="5">
        <f t="shared" si="3"/>
        <v>38136</v>
      </c>
    </row>
    <row r="198" spans="1:12" x14ac:dyDescent="0.3">
      <c r="A198">
        <v>1211</v>
      </c>
      <c r="B198">
        <v>2025</v>
      </c>
      <c r="C198">
        <v>3034</v>
      </c>
      <c r="D198" t="str">
        <f>VLOOKUP('Sales table'!$A:$A,Customers!$A:$H,2,FALSE)</f>
        <v>Deanna Barnes</v>
      </c>
      <c r="E198">
        <f>VLOOKUP('Sales table'!$A:$A,Customers!$A:$H,4,FALSE)</f>
        <v>47</v>
      </c>
      <c r="F198" t="str">
        <f>VLOOKUP('Sales table'!$A:$A,Customers!$A:$H,5,FALSE)</f>
        <v>Hyderabad</v>
      </c>
      <c r="G198" t="str">
        <f>VLOOKUP($B:$B,Products!$A:$D,2,FALSE)</f>
        <v>Handbag</v>
      </c>
      <c r="H198" t="str">
        <f>VLOOKUP($B:$B,Products!$A:$D,3,FALSE)</f>
        <v>Accessories</v>
      </c>
      <c r="I198">
        <f>VLOOKUP($B:$B,Products!$A:$D,4,FALSE)</f>
        <v>17019</v>
      </c>
      <c r="J198" s="4">
        <f>VLOOKUP($A:$A,Sales!$B:$H,6,FALSE)</f>
        <v>45592</v>
      </c>
      <c r="K198" s="9">
        <f>VLOOKUP($A:$A,Sales!$B:$H,4,FALSE)</f>
        <v>1</v>
      </c>
      <c r="L198" s="5">
        <f t="shared" si="3"/>
        <v>17019</v>
      </c>
    </row>
    <row r="199" spans="1:12" x14ac:dyDescent="0.3">
      <c r="A199">
        <v>1266</v>
      </c>
      <c r="B199">
        <v>2006</v>
      </c>
      <c r="C199">
        <v>3031</v>
      </c>
      <c r="D199" t="str">
        <f>VLOOKUP('Sales table'!$A:$A,Customers!$A:$H,2,FALSE)</f>
        <v>Kim Mckinney</v>
      </c>
      <c r="E199">
        <f>VLOOKUP('Sales table'!$A:$A,Customers!$A:$H,4,FALSE)</f>
        <v>48</v>
      </c>
      <c r="F199" t="str">
        <f>VLOOKUP('Sales table'!$A:$A,Customers!$A:$H,5,FALSE)</f>
        <v>Delhi</v>
      </c>
      <c r="G199" t="str">
        <f>VLOOKUP($B:$B,Products!$A:$D,2,FALSE)</f>
        <v>Crackers Pack</v>
      </c>
      <c r="H199" t="str">
        <f>VLOOKUP($B:$B,Products!$A:$D,3,FALSE)</f>
        <v>Crackers</v>
      </c>
      <c r="I199">
        <f>VLOOKUP($B:$B,Products!$A:$D,4,FALSE)</f>
        <v>12060</v>
      </c>
      <c r="J199" s="4">
        <f>VLOOKUP($A:$A,Sales!$B:$H,6,FALSE)</f>
        <v>45604</v>
      </c>
      <c r="K199" s="9">
        <f>VLOOKUP($A:$A,Sales!$B:$H,4,FALSE)</f>
        <v>5</v>
      </c>
      <c r="L199" s="5">
        <f t="shared" si="3"/>
        <v>60300</v>
      </c>
    </row>
    <row r="200" spans="1:12" x14ac:dyDescent="0.3">
      <c r="A200">
        <v>1174</v>
      </c>
      <c r="B200">
        <v>2013</v>
      </c>
      <c r="C200">
        <v>3016</v>
      </c>
      <c r="D200" t="str">
        <f>VLOOKUP('Sales table'!$A:$A,Customers!$A:$H,2,FALSE)</f>
        <v>Eric West</v>
      </c>
      <c r="E200">
        <f>VLOOKUP('Sales table'!$A:$A,Customers!$A:$H,4,FALSE)</f>
        <v>23</v>
      </c>
      <c r="F200" t="str">
        <f>VLOOKUP('Sales table'!$A:$A,Customers!$A:$H,5,FALSE)</f>
        <v>Hyderabad</v>
      </c>
      <c r="G200" t="str">
        <f>VLOOKUP($B:$B,Products!$A:$D,2,FALSE)</f>
        <v>Silver Coin</v>
      </c>
      <c r="H200" t="str">
        <f>VLOOKUP($B:$B,Products!$A:$D,3,FALSE)</f>
        <v>Precious Items</v>
      </c>
      <c r="I200">
        <f>VLOOKUP($B:$B,Products!$A:$D,4,FALSE)</f>
        <v>11845</v>
      </c>
      <c r="J200" s="4">
        <f>VLOOKUP($A:$A,Sales!$B:$H,6,FALSE)</f>
        <v>45581</v>
      </c>
      <c r="K200" s="9">
        <f>VLOOKUP($A:$A,Sales!$B:$H,4,FALSE)</f>
        <v>3</v>
      </c>
      <c r="L200" s="5">
        <f t="shared" si="3"/>
        <v>35535</v>
      </c>
    </row>
    <row r="201" spans="1:12" x14ac:dyDescent="0.3">
      <c r="A201">
        <v>1138</v>
      </c>
      <c r="B201">
        <v>2005</v>
      </c>
      <c r="C201">
        <v>3011</v>
      </c>
      <c r="D201" t="str">
        <f>VLOOKUP('Sales table'!$A:$A,Customers!$A:$H,2,FALSE)</f>
        <v>Timothy Wells</v>
      </c>
      <c r="E201">
        <f>VLOOKUP('Sales table'!$A:$A,Customers!$A:$H,4,FALSE)</f>
        <v>18</v>
      </c>
      <c r="F201" t="str">
        <f>VLOOKUP('Sales table'!$A:$A,Customers!$A:$H,5,FALSE)</f>
        <v>Hyderabad</v>
      </c>
      <c r="G201" t="str">
        <f>VLOOKUP($B:$B,Products!$A:$D,2,FALSE)</f>
        <v>LED Lamp</v>
      </c>
      <c r="H201" t="str">
        <f>VLOOKUP($B:$B,Products!$A:$D,3,FALSE)</f>
        <v>Home Decor</v>
      </c>
      <c r="I201">
        <f>VLOOKUP($B:$B,Products!$A:$D,4,FALSE)</f>
        <v>3828</v>
      </c>
      <c r="J201" s="4">
        <f>VLOOKUP($A:$A,Sales!$B:$H,6,FALSE)</f>
        <v>45586</v>
      </c>
      <c r="K201" s="9">
        <f>VLOOKUP($A:$A,Sales!$B:$H,4,FALSE)</f>
        <v>1</v>
      </c>
      <c r="L201" s="5">
        <f t="shared" si="3"/>
        <v>3828</v>
      </c>
    </row>
    <row r="202" spans="1:12" x14ac:dyDescent="0.3">
      <c r="A202">
        <v>1234</v>
      </c>
      <c r="B202">
        <v>2015</v>
      </c>
      <c r="C202">
        <v>3019</v>
      </c>
      <c r="D202" t="str">
        <f>VLOOKUP('Sales table'!$A:$A,Customers!$A:$H,2,FALSE)</f>
        <v>Kaitlyn Collier</v>
      </c>
      <c r="E202">
        <f>VLOOKUP('Sales table'!$A:$A,Customers!$A:$H,4,FALSE)</f>
        <v>55</v>
      </c>
      <c r="F202" t="str">
        <f>VLOOKUP('Sales table'!$A:$A,Customers!$A:$H,5,FALSE)</f>
        <v>Kolkata</v>
      </c>
      <c r="G202" t="str">
        <f>VLOOKUP($B:$B,Products!$A:$D,2,FALSE)</f>
        <v>Candle Set</v>
      </c>
      <c r="H202" t="str">
        <f>VLOOKUP($B:$B,Products!$A:$D,3,FALSE)</f>
        <v>Home Decor</v>
      </c>
      <c r="I202">
        <f>VLOOKUP($B:$B,Products!$A:$D,4,FALSE)</f>
        <v>17604</v>
      </c>
      <c r="J202" s="4">
        <f>VLOOKUP($A:$A,Sales!$B:$H,6,FALSE)</f>
        <v>45610</v>
      </c>
      <c r="K202" s="9">
        <f>VLOOKUP($A:$A,Sales!$B:$H,4,FALSE)</f>
        <v>4</v>
      </c>
      <c r="L202" s="5">
        <f t="shared" si="3"/>
        <v>70416</v>
      </c>
    </row>
    <row r="203" spans="1:12" x14ac:dyDescent="0.3">
      <c r="A203">
        <v>1285</v>
      </c>
      <c r="B203">
        <v>2010</v>
      </c>
      <c r="C203">
        <v>3033</v>
      </c>
      <c r="D203" t="str">
        <f>VLOOKUP('Sales table'!$A:$A,Customers!$A:$H,2,FALSE)</f>
        <v>Deborah Hill</v>
      </c>
      <c r="E203">
        <f>VLOOKUP('Sales table'!$A:$A,Customers!$A:$H,4,FALSE)</f>
        <v>47</v>
      </c>
      <c r="F203" t="str">
        <f>VLOOKUP('Sales table'!$A:$A,Customers!$A:$H,5,FALSE)</f>
        <v>Delhi</v>
      </c>
      <c r="G203" t="str">
        <f>VLOOKUP($B:$B,Products!$A:$D,2,FALSE)</f>
        <v>Chocolate Box</v>
      </c>
      <c r="H203" t="str">
        <f>VLOOKUP($B:$B,Products!$A:$D,3,FALSE)</f>
        <v>Sweets &amp; Gifts</v>
      </c>
      <c r="I203">
        <f>VLOOKUP($B:$B,Products!$A:$D,4,FALSE)</f>
        <v>17909</v>
      </c>
      <c r="J203" s="4">
        <f>VLOOKUP($A:$A,Sales!$B:$H,6,FALSE)</f>
        <v>45603</v>
      </c>
      <c r="K203" s="9">
        <f>VLOOKUP($A:$A,Sales!$B:$H,4,FALSE)</f>
        <v>4</v>
      </c>
      <c r="L203" s="5">
        <f t="shared" si="3"/>
        <v>71636</v>
      </c>
    </row>
    <row r="204" spans="1:12" x14ac:dyDescent="0.3">
      <c r="A204">
        <v>1190</v>
      </c>
      <c r="B204">
        <v>2019</v>
      </c>
      <c r="C204">
        <v>3001</v>
      </c>
      <c r="D204" t="str">
        <f>VLOOKUP('Sales table'!$A:$A,Customers!$A:$H,2,FALSE)</f>
        <v>Mark Stanton</v>
      </c>
      <c r="E204">
        <f>VLOOKUP('Sales table'!$A:$A,Customers!$A:$H,4,FALSE)</f>
        <v>29</v>
      </c>
      <c r="F204" t="str">
        <f>VLOOKUP('Sales table'!$A:$A,Customers!$A:$H,5,FALSE)</f>
        <v>Delhi</v>
      </c>
      <c r="G204" t="str">
        <f>VLOOKUP($B:$B,Products!$A:$D,2,FALSE)</f>
        <v>Designer Kurti</v>
      </c>
      <c r="H204" t="str">
        <f>VLOOKUP($B:$B,Products!$A:$D,3,FALSE)</f>
        <v>Clothing</v>
      </c>
      <c r="I204">
        <f>VLOOKUP($B:$B,Products!$A:$D,4,FALSE)</f>
        <v>13620</v>
      </c>
      <c r="J204" s="4">
        <f>VLOOKUP($A:$A,Sales!$B:$H,6,FALSE)</f>
        <v>45609</v>
      </c>
      <c r="K204" s="9">
        <f>VLOOKUP($A:$A,Sales!$B:$H,4,FALSE)</f>
        <v>5</v>
      </c>
      <c r="L204" s="5">
        <f t="shared" si="3"/>
        <v>68100</v>
      </c>
    </row>
    <row r="205" spans="1:12" x14ac:dyDescent="0.3">
      <c r="A205">
        <v>1125</v>
      </c>
      <c r="B205">
        <v>2020</v>
      </c>
      <c r="C205">
        <v>3016</v>
      </c>
      <c r="D205" t="str">
        <f>VLOOKUP('Sales table'!$A:$A,Customers!$A:$H,2,FALSE)</f>
        <v>Ashley Hernandez</v>
      </c>
      <c r="E205">
        <f>VLOOKUP('Sales table'!$A:$A,Customers!$A:$H,4,FALSE)</f>
        <v>35</v>
      </c>
      <c r="F205" t="str">
        <f>VLOOKUP('Sales table'!$A:$A,Customers!$A:$H,5,FALSE)</f>
        <v>Hyderabad</v>
      </c>
      <c r="G205" t="str">
        <f>VLOOKUP($B:$B,Products!$A:$D,2,FALSE)</f>
        <v>Ethnic Jewelry</v>
      </c>
      <c r="H205" t="str">
        <f>VLOOKUP($B:$B,Products!$A:$D,3,FALSE)</f>
        <v>Precious Items</v>
      </c>
      <c r="I205">
        <f>VLOOKUP($B:$B,Products!$A:$D,4,FALSE)</f>
        <v>4495</v>
      </c>
      <c r="J205" s="4">
        <f>VLOOKUP($A:$A,Sales!$B:$H,6,FALSE)</f>
        <v>45580</v>
      </c>
      <c r="K205" s="9">
        <f>VLOOKUP($A:$A,Sales!$B:$H,4,FALSE)</f>
        <v>4</v>
      </c>
      <c r="L205" s="5">
        <f t="shared" si="3"/>
        <v>17980</v>
      </c>
    </row>
    <row r="206" spans="1:12" x14ac:dyDescent="0.3">
      <c r="A206">
        <v>1116</v>
      </c>
      <c r="B206">
        <v>2022</v>
      </c>
      <c r="C206">
        <v>3012</v>
      </c>
      <c r="D206" t="str">
        <f>VLOOKUP('Sales table'!$A:$A,Customers!$A:$H,2,FALSE)</f>
        <v>Connie Rogers</v>
      </c>
      <c r="E206">
        <f>VLOOKUP('Sales table'!$A:$A,Customers!$A:$H,4,FALSE)</f>
        <v>33</v>
      </c>
      <c r="F206" t="str">
        <f>VLOOKUP('Sales table'!$A:$A,Customers!$A:$H,5,FALSE)</f>
        <v>Mumbai</v>
      </c>
      <c r="G206" t="str">
        <f>VLOOKUP($B:$B,Products!$A:$D,2,FALSE)</f>
        <v>Home Decor Statue</v>
      </c>
      <c r="H206" t="str">
        <f>VLOOKUP($B:$B,Products!$A:$D,3,FALSE)</f>
        <v>Home Decor</v>
      </c>
      <c r="I206">
        <f>VLOOKUP($B:$B,Products!$A:$D,4,FALSE)</f>
        <v>17149</v>
      </c>
      <c r="J206" s="4">
        <f>VLOOKUP($A:$A,Sales!$B:$H,6,FALSE)</f>
        <v>45586</v>
      </c>
      <c r="K206" s="9">
        <f>VLOOKUP($A:$A,Sales!$B:$H,4,FALSE)</f>
        <v>5</v>
      </c>
      <c r="L206" s="5">
        <f t="shared" si="3"/>
        <v>85745</v>
      </c>
    </row>
    <row r="207" spans="1:12" x14ac:dyDescent="0.3">
      <c r="A207">
        <v>1083</v>
      </c>
      <c r="B207">
        <v>2004</v>
      </c>
      <c r="C207">
        <v>3011</v>
      </c>
      <c r="D207" t="str">
        <f>VLOOKUP('Sales table'!$A:$A,Customers!$A:$H,2,FALSE)</f>
        <v>James Barrera</v>
      </c>
      <c r="E207">
        <f>VLOOKUP('Sales table'!$A:$A,Customers!$A:$H,4,FALSE)</f>
        <v>31</v>
      </c>
      <c r="F207" t="str">
        <f>VLOOKUP('Sales table'!$A:$A,Customers!$A:$H,5,FALSE)</f>
        <v>Pune</v>
      </c>
      <c r="G207" t="str">
        <f>VLOOKUP($B:$B,Products!$A:$D,2,FALSE)</f>
        <v>Smartphone</v>
      </c>
      <c r="H207" t="str">
        <f>VLOOKUP($B:$B,Products!$A:$D,3,FALSE)</f>
        <v>Electronics</v>
      </c>
      <c r="I207">
        <f>VLOOKUP($B:$B,Products!$A:$D,4,FALSE)</f>
        <v>4952</v>
      </c>
      <c r="J207" s="4">
        <f>VLOOKUP($A:$A,Sales!$B:$H,6,FALSE)</f>
        <v>45593</v>
      </c>
      <c r="K207" s="9">
        <f>VLOOKUP($A:$A,Sales!$B:$H,4,FALSE)</f>
        <v>4</v>
      </c>
      <c r="L207" s="5">
        <f t="shared" si="3"/>
        <v>19808</v>
      </c>
    </row>
    <row r="208" spans="1:12" x14ac:dyDescent="0.3">
      <c r="A208">
        <v>1002</v>
      </c>
      <c r="B208">
        <v>2024</v>
      </c>
      <c r="C208">
        <v>3026</v>
      </c>
      <c r="D208" t="str">
        <f>VLOOKUP('Sales table'!$A:$A,Customers!$A:$H,2,FALSE)</f>
        <v>Scott Chen</v>
      </c>
      <c r="E208">
        <f>VLOOKUP('Sales table'!$A:$A,Customers!$A:$H,4,FALSE)</f>
        <v>21</v>
      </c>
      <c r="F208" t="str">
        <f>VLOOKUP('Sales table'!$A:$A,Customers!$A:$H,5,FALSE)</f>
        <v>Mumbai</v>
      </c>
      <c r="G208" t="str">
        <f>VLOOKUP($B:$B,Products!$A:$D,2,FALSE)</f>
        <v>Perfume Gift Set</v>
      </c>
      <c r="H208" t="str">
        <f>VLOOKUP($B:$B,Products!$A:$D,3,FALSE)</f>
        <v>Accessories</v>
      </c>
      <c r="I208">
        <f>VLOOKUP($B:$B,Products!$A:$D,4,FALSE)</f>
        <v>16272</v>
      </c>
      <c r="J208" s="4">
        <f>VLOOKUP($A:$A,Sales!$B:$H,6,FALSE)</f>
        <v>45598</v>
      </c>
      <c r="K208" s="9">
        <f>VLOOKUP($A:$A,Sales!$B:$H,4,FALSE)</f>
        <v>5</v>
      </c>
      <c r="L208" s="5">
        <f t="shared" si="3"/>
        <v>81360</v>
      </c>
    </row>
    <row r="209" spans="1:12" x14ac:dyDescent="0.3">
      <c r="A209">
        <v>1224</v>
      </c>
      <c r="B209">
        <v>2004</v>
      </c>
      <c r="C209">
        <v>3012</v>
      </c>
      <c r="D209" t="str">
        <f>VLOOKUP('Sales table'!$A:$A,Customers!$A:$H,2,FALSE)</f>
        <v>Joseph Garrett</v>
      </c>
      <c r="E209">
        <f>VLOOKUP('Sales table'!$A:$A,Customers!$A:$H,4,FALSE)</f>
        <v>58</v>
      </c>
      <c r="F209" t="str">
        <f>VLOOKUP('Sales table'!$A:$A,Customers!$A:$H,5,FALSE)</f>
        <v>Pune</v>
      </c>
      <c r="G209" t="str">
        <f>VLOOKUP($B:$B,Products!$A:$D,2,FALSE)</f>
        <v>Smartphone</v>
      </c>
      <c r="H209" t="str">
        <f>VLOOKUP($B:$B,Products!$A:$D,3,FALSE)</f>
        <v>Electronics</v>
      </c>
      <c r="I209">
        <f>VLOOKUP($B:$B,Products!$A:$D,4,FALSE)</f>
        <v>4952</v>
      </c>
      <c r="J209" s="4">
        <f>VLOOKUP($A:$A,Sales!$B:$H,6,FALSE)</f>
        <v>45609</v>
      </c>
      <c r="K209" s="9">
        <f>VLOOKUP($A:$A,Sales!$B:$H,4,FALSE)</f>
        <v>2</v>
      </c>
      <c r="L209" s="5">
        <f t="shared" si="3"/>
        <v>9904</v>
      </c>
    </row>
    <row r="210" spans="1:12" x14ac:dyDescent="0.3">
      <c r="A210">
        <v>1288</v>
      </c>
      <c r="B210">
        <v>2021</v>
      </c>
      <c r="C210">
        <v>3021</v>
      </c>
      <c r="D210" t="str">
        <f>VLOOKUP('Sales table'!$A:$A,Customers!$A:$H,2,FALSE)</f>
        <v>Heather Holland</v>
      </c>
      <c r="E210">
        <f>VLOOKUP('Sales table'!$A:$A,Customers!$A:$H,4,FALSE)</f>
        <v>25</v>
      </c>
      <c r="F210" t="str">
        <f>VLOOKUP('Sales table'!$A:$A,Customers!$A:$H,5,FALSE)</f>
        <v>Hyderabad</v>
      </c>
      <c r="G210" t="str">
        <f>VLOOKUP($B:$B,Products!$A:$D,2,FALSE)</f>
        <v>Smartwatch</v>
      </c>
      <c r="H210" t="str">
        <f>VLOOKUP($B:$B,Products!$A:$D,3,FALSE)</f>
        <v>Electronics</v>
      </c>
      <c r="I210">
        <f>VLOOKUP($B:$B,Products!$A:$D,4,FALSE)</f>
        <v>17586</v>
      </c>
      <c r="J210" s="4">
        <f>VLOOKUP($A:$A,Sales!$B:$H,6,FALSE)</f>
        <v>45605</v>
      </c>
      <c r="K210" s="9">
        <f>VLOOKUP($A:$A,Sales!$B:$H,4,FALSE)</f>
        <v>4</v>
      </c>
      <c r="L210" s="5">
        <f t="shared" si="3"/>
        <v>70344</v>
      </c>
    </row>
    <row r="211" spans="1:12" x14ac:dyDescent="0.3">
      <c r="A211">
        <v>1110</v>
      </c>
      <c r="B211">
        <v>2004</v>
      </c>
      <c r="C211">
        <v>3020</v>
      </c>
      <c r="D211" t="str">
        <f>VLOOKUP('Sales table'!$A:$A,Customers!$A:$H,2,FALSE)</f>
        <v>Michelle Hardin</v>
      </c>
      <c r="E211">
        <f>VLOOKUP('Sales table'!$A:$A,Customers!$A:$H,4,FALSE)</f>
        <v>64</v>
      </c>
      <c r="F211" t="str">
        <f>VLOOKUP('Sales table'!$A:$A,Customers!$A:$H,5,FALSE)</f>
        <v>Delhi</v>
      </c>
      <c r="G211" t="str">
        <f>VLOOKUP($B:$B,Products!$A:$D,2,FALSE)</f>
        <v>Smartphone</v>
      </c>
      <c r="H211" t="str">
        <f>VLOOKUP($B:$B,Products!$A:$D,3,FALSE)</f>
        <v>Electronics</v>
      </c>
      <c r="I211">
        <f>VLOOKUP($B:$B,Products!$A:$D,4,FALSE)</f>
        <v>4952</v>
      </c>
      <c r="J211" s="4">
        <f>VLOOKUP($A:$A,Sales!$B:$H,6,FALSE)</f>
        <v>45583</v>
      </c>
      <c r="K211" s="9">
        <f>VLOOKUP($A:$A,Sales!$B:$H,4,FALSE)</f>
        <v>3</v>
      </c>
      <c r="L211" s="5">
        <f t="shared" si="3"/>
        <v>14856</v>
      </c>
    </row>
    <row r="212" spans="1:12" x14ac:dyDescent="0.3">
      <c r="A212">
        <v>1271</v>
      </c>
      <c r="B212">
        <v>2018</v>
      </c>
      <c r="C212">
        <v>3017</v>
      </c>
      <c r="D212" t="str">
        <f>VLOOKUP('Sales table'!$A:$A,Customers!$A:$H,2,FALSE)</f>
        <v>Alicia Bailey</v>
      </c>
      <c r="E212">
        <f>VLOOKUP('Sales table'!$A:$A,Customers!$A:$H,4,FALSE)</f>
        <v>41</v>
      </c>
      <c r="F212" t="str">
        <f>VLOOKUP('Sales table'!$A:$A,Customers!$A:$H,5,FALSE)</f>
        <v>Bangalore</v>
      </c>
      <c r="G212" t="str">
        <f>VLOOKUP($B:$B,Products!$A:$D,2,FALSE)</f>
        <v>Dry Fruits Pack</v>
      </c>
      <c r="H212" t="str">
        <f>VLOOKUP($B:$B,Products!$A:$D,3,FALSE)</f>
        <v>Sweets &amp; Gifts</v>
      </c>
      <c r="I212">
        <f>VLOOKUP($B:$B,Products!$A:$D,4,FALSE)</f>
        <v>7243</v>
      </c>
      <c r="J212" s="4">
        <f>VLOOKUP($A:$A,Sales!$B:$H,6,FALSE)</f>
        <v>45605</v>
      </c>
      <c r="K212" s="9">
        <f>VLOOKUP($A:$A,Sales!$B:$H,4,FALSE)</f>
        <v>2</v>
      </c>
      <c r="L212" s="5">
        <f t="shared" si="3"/>
        <v>14486</v>
      </c>
    </row>
    <row r="213" spans="1:12" x14ac:dyDescent="0.3">
      <c r="A213">
        <v>1135</v>
      </c>
      <c r="B213">
        <v>2002</v>
      </c>
      <c r="C213">
        <v>3013</v>
      </c>
      <c r="D213" t="str">
        <f>VLOOKUP('Sales table'!$A:$A,Customers!$A:$H,2,FALSE)</f>
        <v>Curtis Gonzales</v>
      </c>
      <c r="E213">
        <f>VLOOKUP('Sales table'!$A:$A,Customers!$A:$H,4,FALSE)</f>
        <v>47</v>
      </c>
      <c r="F213" t="str">
        <f>VLOOKUP('Sales table'!$A:$A,Customers!$A:$H,5,FALSE)</f>
        <v>Bangalore</v>
      </c>
      <c r="G213" t="str">
        <f>VLOOKUP($B:$B,Products!$A:$D,2,FALSE)</f>
        <v>Saree</v>
      </c>
      <c r="H213" t="str">
        <f>VLOOKUP($B:$B,Products!$A:$D,3,FALSE)</f>
        <v>Clothing</v>
      </c>
      <c r="I213">
        <f>VLOOKUP($B:$B,Products!$A:$D,4,FALSE)</f>
        <v>9534</v>
      </c>
      <c r="J213" s="4">
        <f>VLOOKUP($A:$A,Sales!$B:$H,6,FALSE)</f>
        <v>45588</v>
      </c>
      <c r="K213" s="9">
        <f>VLOOKUP($A:$A,Sales!$B:$H,4,FALSE)</f>
        <v>5</v>
      </c>
      <c r="L213" s="5">
        <f t="shared" si="3"/>
        <v>47670</v>
      </c>
    </row>
    <row r="214" spans="1:12" x14ac:dyDescent="0.3">
      <c r="A214">
        <v>1072</v>
      </c>
      <c r="B214">
        <v>2013</v>
      </c>
      <c r="C214">
        <v>3009</v>
      </c>
      <c r="D214" t="str">
        <f>VLOOKUP('Sales table'!$A:$A,Customers!$A:$H,2,FALSE)</f>
        <v>Michael Torres</v>
      </c>
      <c r="E214">
        <f>VLOOKUP('Sales table'!$A:$A,Customers!$A:$H,4,FALSE)</f>
        <v>29</v>
      </c>
      <c r="F214" t="str">
        <f>VLOOKUP('Sales table'!$A:$A,Customers!$A:$H,5,FALSE)</f>
        <v>Delhi</v>
      </c>
      <c r="G214" t="str">
        <f>VLOOKUP($B:$B,Products!$A:$D,2,FALSE)</f>
        <v>Silver Coin</v>
      </c>
      <c r="H214" t="str">
        <f>VLOOKUP($B:$B,Products!$A:$D,3,FALSE)</f>
        <v>Precious Items</v>
      </c>
      <c r="I214">
        <f>VLOOKUP($B:$B,Products!$A:$D,4,FALSE)</f>
        <v>11845</v>
      </c>
      <c r="J214" s="4">
        <f>VLOOKUP($A:$A,Sales!$B:$H,6,FALSE)</f>
        <v>45606</v>
      </c>
      <c r="K214" s="9">
        <f>VLOOKUP($A:$A,Sales!$B:$H,4,FALSE)</f>
        <v>2</v>
      </c>
      <c r="L214" s="5">
        <f t="shared" si="3"/>
        <v>23690</v>
      </c>
    </row>
    <row r="215" spans="1:12" x14ac:dyDescent="0.3">
      <c r="A215">
        <v>1170</v>
      </c>
      <c r="B215">
        <v>2025</v>
      </c>
      <c r="C215">
        <v>3026</v>
      </c>
      <c r="D215" t="str">
        <f>VLOOKUP('Sales table'!$A:$A,Customers!$A:$H,2,FALSE)</f>
        <v>Gerald Sanders</v>
      </c>
      <c r="E215">
        <f>VLOOKUP('Sales table'!$A:$A,Customers!$A:$H,4,FALSE)</f>
        <v>52</v>
      </c>
      <c r="F215" t="str">
        <f>VLOOKUP('Sales table'!$A:$A,Customers!$A:$H,5,FALSE)</f>
        <v>Kolkata</v>
      </c>
      <c r="G215" t="str">
        <f>VLOOKUP($B:$B,Products!$A:$D,2,FALSE)</f>
        <v>Handbag</v>
      </c>
      <c r="H215" t="str">
        <f>VLOOKUP($B:$B,Products!$A:$D,3,FALSE)</f>
        <v>Accessories</v>
      </c>
      <c r="I215">
        <f>VLOOKUP($B:$B,Products!$A:$D,4,FALSE)</f>
        <v>17019</v>
      </c>
      <c r="J215" s="4">
        <f>VLOOKUP($A:$A,Sales!$B:$H,6,FALSE)</f>
        <v>45600</v>
      </c>
      <c r="K215" s="9">
        <f>VLOOKUP($A:$A,Sales!$B:$H,4,FALSE)</f>
        <v>4</v>
      </c>
      <c r="L215" s="5">
        <f t="shared" si="3"/>
        <v>68076</v>
      </c>
    </row>
    <row r="216" spans="1:12" x14ac:dyDescent="0.3">
      <c r="A216">
        <v>1228</v>
      </c>
      <c r="B216">
        <v>2006</v>
      </c>
      <c r="C216">
        <v>3001</v>
      </c>
      <c r="D216" t="str">
        <f>VLOOKUP('Sales table'!$A:$A,Customers!$A:$H,2,FALSE)</f>
        <v>Ian Kemp</v>
      </c>
      <c r="E216">
        <f>VLOOKUP('Sales table'!$A:$A,Customers!$A:$H,4,FALSE)</f>
        <v>42</v>
      </c>
      <c r="F216" t="str">
        <f>VLOOKUP('Sales table'!$A:$A,Customers!$A:$H,5,FALSE)</f>
        <v>Kolkata</v>
      </c>
      <c r="G216" t="str">
        <f>VLOOKUP($B:$B,Products!$A:$D,2,FALSE)</f>
        <v>Crackers Pack</v>
      </c>
      <c r="H216" t="str">
        <f>VLOOKUP($B:$B,Products!$A:$D,3,FALSE)</f>
        <v>Crackers</v>
      </c>
      <c r="I216">
        <f>VLOOKUP($B:$B,Products!$A:$D,4,FALSE)</f>
        <v>12060</v>
      </c>
      <c r="J216" s="4">
        <f>VLOOKUP($A:$A,Sales!$B:$H,6,FALSE)</f>
        <v>45606</v>
      </c>
      <c r="K216" s="9">
        <f>VLOOKUP($A:$A,Sales!$B:$H,4,FALSE)</f>
        <v>4</v>
      </c>
      <c r="L216" s="5">
        <f t="shared" si="3"/>
        <v>48240</v>
      </c>
    </row>
    <row r="217" spans="1:12" x14ac:dyDescent="0.3">
      <c r="A217">
        <v>1173</v>
      </c>
      <c r="B217">
        <v>2002</v>
      </c>
      <c r="C217">
        <v>3030</v>
      </c>
      <c r="D217" t="str">
        <f>VLOOKUP('Sales table'!$A:$A,Customers!$A:$H,2,FALSE)</f>
        <v>Emily Martin</v>
      </c>
      <c r="E217">
        <f>VLOOKUP('Sales table'!$A:$A,Customers!$A:$H,4,FALSE)</f>
        <v>51</v>
      </c>
      <c r="F217" t="str">
        <f>VLOOKUP('Sales table'!$A:$A,Customers!$A:$H,5,FALSE)</f>
        <v>Chennai</v>
      </c>
      <c r="G217" t="str">
        <f>VLOOKUP($B:$B,Products!$A:$D,2,FALSE)</f>
        <v>Saree</v>
      </c>
      <c r="H217" t="str">
        <f>VLOOKUP($B:$B,Products!$A:$D,3,FALSE)</f>
        <v>Clothing</v>
      </c>
      <c r="I217">
        <f>VLOOKUP($B:$B,Products!$A:$D,4,FALSE)</f>
        <v>9534</v>
      </c>
      <c r="J217" s="4">
        <f>VLOOKUP($A:$A,Sales!$B:$H,6,FALSE)</f>
        <v>45604</v>
      </c>
      <c r="K217" s="9">
        <f>VLOOKUP($A:$A,Sales!$B:$H,4,FALSE)</f>
        <v>4</v>
      </c>
      <c r="L217" s="5">
        <f t="shared" si="3"/>
        <v>38136</v>
      </c>
    </row>
    <row r="218" spans="1:12" x14ac:dyDescent="0.3">
      <c r="A218">
        <v>1234</v>
      </c>
      <c r="B218">
        <v>2016</v>
      </c>
      <c r="C218">
        <v>3013</v>
      </c>
      <c r="D218" t="str">
        <f>VLOOKUP('Sales table'!$A:$A,Customers!$A:$H,2,FALSE)</f>
        <v>Kaitlyn Collier</v>
      </c>
      <c r="E218">
        <f>VLOOKUP('Sales table'!$A:$A,Customers!$A:$H,4,FALSE)</f>
        <v>55</v>
      </c>
      <c r="F218" t="str">
        <f>VLOOKUP('Sales table'!$A:$A,Customers!$A:$H,5,FALSE)</f>
        <v>Kolkata</v>
      </c>
      <c r="G218" t="str">
        <f>VLOOKUP($B:$B,Products!$A:$D,2,FALSE)</f>
        <v>Fairy Lights</v>
      </c>
      <c r="H218" t="str">
        <f>VLOOKUP($B:$B,Products!$A:$D,3,FALSE)</f>
        <v>Home Decor</v>
      </c>
      <c r="I218">
        <f>VLOOKUP($B:$B,Products!$A:$D,4,FALSE)</f>
        <v>12242</v>
      </c>
      <c r="J218" s="4">
        <f>VLOOKUP($A:$A,Sales!$B:$H,6,FALSE)</f>
        <v>45610</v>
      </c>
      <c r="K218" s="9">
        <f>VLOOKUP($A:$A,Sales!$B:$H,4,FALSE)</f>
        <v>4</v>
      </c>
      <c r="L218" s="5">
        <f t="shared" si="3"/>
        <v>48968</v>
      </c>
    </row>
    <row r="219" spans="1:12" x14ac:dyDescent="0.3">
      <c r="A219">
        <v>1239</v>
      </c>
      <c r="B219">
        <v>2023</v>
      </c>
      <c r="C219">
        <v>3016</v>
      </c>
      <c r="D219" t="str">
        <f>VLOOKUP('Sales table'!$A:$A,Customers!$A:$H,2,FALSE)</f>
        <v>Robert Burton</v>
      </c>
      <c r="E219">
        <f>VLOOKUP('Sales table'!$A:$A,Customers!$A:$H,4,FALSE)</f>
        <v>32</v>
      </c>
      <c r="F219" t="str">
        <f>VLOOKUP('Sales table'!$A:$A,Customers!$A:$H,5,FALSE)</f>
        <v>Chennai</v>
      </c>
      <c r="G219" t="str">
        <f>VLOOKUP($B:$B,Products!$A:$D,2,FALSE)</f>
        <v>Kids Wear</v>
      </c>
      <c r="H219" t="str">
        <f>VLOOKUP($B:$B,Products!$A:$D,3,FALSE)</f>
        <v>Clothing</v>
      </c>
      <c r="I219">
        <f>VLOOKUP($B:$B,Products!$A:$D,4,FALSE)</f>
        <v>4794</v>
      </c>
      <c r="J219" s="4">
        <f>VLOOKUP($A:$A,Sales!$B:$H,6,FALSE)</f>
        <v>45576</v>
      </c>
      <c r="K219" s="9">
        <f>VLOOKUP($A:$A,Sales!$B:$H,4,FALSE)</f>
        <v>5</v>
      </c>
      <c r="L219" s="5">
        <f t="shared" si="3"/>
        <v>23970</v>
      </c>
    </row>
    <row r="220" spans="1:12" x14ac:dyDescent="0.3">
      <c r="A220">
        <v>1034</v>
      </c>
      <c r="B220">
        <v>2006</v>
      </c>
      <c r="C220">
        <v>3025</v>
      </c>
      <c r="D220" t="str">
        <f>VLOOKUP('Sales table'!$A:$A,Customers!$A:$H,2,FALSE)</f>
        <v>Pamela Watson</v>
      </c>
      <c r="E220">
        <f>VLOOKUP('Sales table'!$A:$A,Customers!$A:$H,4,FALSE)</f>
        <v>25</v>
      </c>
      <c r="F220" t="str">
        <f>VLOOKUP('Sales table'!$A:$A,Customers!$A:$H,5,FALSE)</f>
        <v>Kolkata</v>
      </c>
      <c r="G220" t="str">
        <f>VLOOKUP($B:$B,Products!$A:$D,2,FALSE)</f>
        <v>Crackers Pack</v>
      </c>
      <c r="H220" t="str">
        <f>VLOOKUP($B:$B,Products!$A:$D,3,FALSE)</f>
        <v>Crackers</v>
      </c>
      <c r="I220">
        <f>VLOOKUP($B:$B,Products!$A:$D,4,FALSE)</f>
        <v>12060</v>
      </c>
      <c r="J220" s="4">
        <f>VLOOKUP($A:$A,Sales!$B:$H,6,FALSE)</f>
        <v>45603</v>
      </c>
      <c r="K220" s="9">
        <f>VLOOKUP($A:$A,Sales!$B:$H,4,FALSE)</f>
        <v>1</v>
      </c>
      <c r="L220" s="5">
        <f t="shared" si="3"/>
        <v>12060</v>
      </c>
    </row>
    <row r="221" spans="1:12" x14ac:dyDescent="0.3">
      <c r="A221">
        <v>1156</v>
      </c>
      <c r="B221">
        <v>2022</v>
      </c>
      <c r="C221">
        <v>3008</v>
      </c>
      <c r="D221" t="str">
        <f>VLOOKUP('Sales table'!$A:$A,Customers!$A:$H,2,FALSE)</f>
        <v>Matthew Frazier</v>
      </c>
      <c r="E221">
        <f>VLOOKUP('Sales table'!$A:$A,Customers!$A:$H,4,FALSE)</f>
        <v>65</v>
      </c>
      <c r="F221" t="str">
        <f>VLOOKUP('Sales table'!$A:$A,Customers!$A:$H,5,FALSE)</f>
        <v>Bangalore</v>
      </c>
      <c r="G221" t="str">
        <f>VLOOKUP($B:$B,Products!$A:$D,2,FALSE)</f>
        <v>Home Decor Statue</v>
      </c>
      <c r="H221" t="str">
        <f>VLOOKUP($B:$B,Products!$A:$D,3,FALSE)</f>
        <v>Home Decor</v>
      </c>
      <c r="I221">
        <f>VLOOKUP($B:$B,Products!$A:$D,4,FALSE)</f>
        <v>17149</v>
      </c>
      <c r="J221" s="4">
        <f>VLOOKUP($A:$A,Sales!$B:$H,6,FALSE)</f>
        <v>45596</v>
      </c>
      <c r="K221" s="9">
        <f>VLOOKUP($A:$A,Sales!$B:$H,4,FALSE)</f>
        <v>1</v>
      </c>
      <c r="L221" s="5">
        <f t="shared" si="3"/>
        <v>17149</v>
      </c>
    </row>
    <row r="222" spans="1:12" x14ac:dyDescent="0.3">
      <c r="A222">
        <v>1195</v>
      </c>
      <c r="B222">
        <v>2003</v>
      </c>
      <c r="C222">
        <v>3003</v>
      </c>
      <c r="D222" t="str">
        <f>VLOOKUP('Sales table'!$A:$A,Customers!$A:$H,2,FALSE)</f>
        <v>Brianna Robertson</v>
      </c>
      <c r="E222">
        <f>VLOOKUP('Sales table'!$A:$A,Customers!$A:$H,4,FALSE)</f>
        <v>50</v>
      </c>
      <c r="F222" t="str">
        <f>VLOOKUP('Sales table'!$A:$A,Customers!$A:$H,5,FALSE)</f>
        <v>Kolkata</v>
      </c>
      <c r="G222" t="str">
        <f>VLOOKUP($B:$B,Products!$A:$D,2,FALSE)</f>
        <v>Kurta</v>
      </c>
      <c r="H222" t="str">
        <f>VLOOKUP($B:$B,Products!$A:$D,3,FALSE)</f>
        <v>Clothing</v>
      </c>
      <c r="I222">
        <f>VLOOKUP($B:$B,Products!$A:$D,4,FALSE)</f>
        <v>13241</v>
      </c>
      <c r="J222" s="4">
        <f>VLOOKUP($A:$A,Sales!$B:$H,6,FALSE)</f>
        <v>45580</v>
      </c>
      <c r="K222" s="9">
        <f>VLOOKUP($A:$A,Sales!$B:$H,4,FALSE)</f>
        <v>4</v>
      </c>
      <c r="L222" s="5">
        <f t="shared" si="3"/>
        <v>52964</v>
      </c>
    </row>
    <row r="223" spans="1:12" x14ac:dyDescent="0.3">
      <c r="A223">
        <v>1087</v>
      </c>
      <c r="B223">
        <v>2024</v>
      </c>
      <c r="C223">
        <v>3025</v>
      </c>
      <c r="D223" t="str">
        <f>VLOOKUP('Sales table'!$A:$A,Customers!$A:$H,2,FALSE)</f>
        <v>Jared Romero</v>
      </c>
      <c r="E223">
        <f>VLOOKUP('Sales table'!$A:$A,Customers!$A:$H,4,FALSE)</f>
        <v>26</v>
      </c>
      <c r="F223" t="str">
        <f>VLOOKUP('Sales table'!$A:$A,Customers!$A:$H,5,FALSE)</f>
        <v>Hyderabad</v>
      </c>
      <c r="G223" t="str">
        <f>VLOOKUP($B:$B,Products!$A:$D,2,FALSE)</f>
        <v>Perfume Gift Set</v>
      </c>
      <c r="H223" t="str">
        <f>VLOOKUP($B:$B,Products!$A:$D,3,FALSE)</f>
        <v>Accessories</v>
      </c>
      <c r="I223">
        <f>VLOOKUP($B:$B,Products!$A:$D,4,FALSE)</f>
        <v>16272</v>
      </c>
      <c r="J223" s="4">
        <f>VLOOKUP($A:$A,Sales!$B:$H,6,FALSE)</f>
        <v>45601</v>
      </c>
      <c r="K223" s="9">
        <f>VLOOKUP($A:$A,Sales!$B:$H,4,FALSE)</f>
        <v>5</v>
      </c>
      <c r="L223" s="5">
        <f t="shared" si="3"/>
        <v>81360</v>
      </c>
    </row>
    <row r="224" spans="1:12" x14ac:dyDescent="0.3">
      <c r="A224">
        <v>1084</v>
      </c>
      <c r="B224">
        <v>2007</v>
      </c>
      <c r="C224">
        <v>3030</v>
      </c>
      <c r="D224" t="str">
        <f>VLOOKUP('Sales table'!$A:$A,Customers!$A:$H,2,FALSE)</f>
        <v>Sharon Baker</v>
      </c>
      <c r="E224">
        <f>VLOOKUP('Sales table'!$A:$A,Customers!$A:$H,4,FALSE)</f>
        <v>48</v>
      </c>
      <c r="F224" t="str">
        <f>VLOOKUP('Sales table'!$A:$A,Customers!$A:$H,5,FALSE)</f>
        <v>Chennai</v>
      </c>
      <c r="G224" t="str">
        <f>VLOOKUP($B:$B,Products!$A:$D,2,FALSE)</f>
        <v>Gift Hamper</v>
      </c>
      <c r="H224" t="str">
        <f>VLOOKUP($B:$B,Products!$A:$D,3,FALSE)</f>
        <v>Sweets &amp; Gifts</v>
      </c>
      <c r="I224">
        <f>VLOOKUP($B:$B,Products!$A:$D,4,FALSE)</f>
        <v>3412</v>
      </c>
      <c r="J224" s="4">
        <f>VLOOKUP($A:$A,Sales!$B:$H,6,FALSE)</f>
        <v>45613</v>
      </c>
      <c r="K224" s="9">
        <f>VLOOKUP($A:$A,Sales!$B:$H,4,FALSE)</f>
        <v>2</v>
      </c>
      <c r="L224" s="5">
        <f t="shared" si="3"/>
        <v>6824</v>
      </c>
    </row>
    <row r="225" spans="1:12" x14ac:dyDescent="0.3">
      <c r="A225">
        <v>1107</v>
      </c>
      <c r="B225">
        <v>2011</v>
      </c>
      <c r="C225">
        <v>3005</v>
      </c>
      <c r="D225" t="str">
        <f>VLOOKUP('Sales table'!$A:$A,Customers!$A:$H,2,FALSE)</f>
        <v>Crystal Wilson</v>
      </c>
      <c r="E225">
        <f>VLOOKUP('Sales table'!$A:$A,Customers!$A:$H,4,FALSE)</f>
        <v>53</v>
      </c>
      <c r="F225" t="str">
        <f>VLOOKUP('Sales table'!$A:$A,Customers!$A:$H,5,FALSE)</f>
        <v>Hyderabad</v>
      </c>
      <c r="G225" t="str">
        <f>VLOOKUP($B:$B,Products!$A:$D,2,FALSE)</f>
        <v>Festive Thali</v>
      </c>
      <c r="H225" t="str">
        <f>VLOOKUP($B:$B,Products!$A:$D,3,FALSE)</f>
        <v>Other</v>
      </c>
      <c r="I225">
        <f>VLOOKUP($B:$B,Products!$A:$D,4,FALSE)</f>
        <v>7481</v>
      </c>
      <c r="J225" s="4">
        <f>VLOOKUP($A:$A,Sales!$B:$H,6,FALSE)</f>
        <v>45599</v>
      </c>
      <c r="K225" s="9">
        <f>VLOOKUP($A:$A,Sales!$B:$H,4,FALSE)</f>
        <v>2</v>
      </c>
      <c r="L225" s="5">
        <f t="shared" si="3"/>
        <v>14962</v>
      </c>
    </row>
    <row r="226" spans="1:12" x14ac:dyDescent="0.3">
      <c r="A226">
        <v>1143</v>
      </c>
      <c r="B226">
        <v>2024</v>
      </c>
      <c r="C226">
        <v>3006</v>
      </c>
      <c r="D226" t="str">
        <f>VLOOKUP('Sales table'!$A:$A,Customers!$A:$H,2,FALSE)</f>
        <v>Corey Kidd</v>
      </c>
      <c r="E226">
        <f>VLOOKUP('Sales table'!$A:$A,Customers!$A:$H,4,FALSE)</f>
        <v>58</v>
      </c>
      <c r="F226" t="str">
        <f>VLOOKUP('Sales table'!$A:$A,Customers!$A:$H,5,FALSE)</f>
        <v>Hyderabad</v>
      </c>
      <c r="G226" t="str">
        <f>VLOOKUP($B:$B,Products!$A:$D,2,FALSE)</f>
        <v>Perfume Gift Set</v>
      </c>
      <c r="H226" t="str">
        <f>VLOOKUP($B:$B,Products!$A:$D,3,FALSE)</f>
        <v>Accessories</v>
      </c>
      <c r="I226">
        <f>VLOOKUP($B:$B,Products!$A:$D,4,FALSE)</f>
        <v>16272</v>
      </c>
      <c r="J226" s="4">
        <f>VLOOKUP($A:$A,Sales!$B:$H,6,FALSE)</f>
        <v>45593</v>
      </c>
      <c r="K226" s="9">
        <f>VLOOKUP($A:$A,Sales!$B:$H,4,FALSE)</f>
        <v>5</v>
      </c>
      <c r="L226" s="5">
        <f t="shared" si="3"/>
        <v>81360</v>
      </c>
    </row>
    <row r="227" spans="1:12" x14ac:dyDescent="0.3">
      <c r="A227">
        <v>1011</v>
      </c>
      <c r="B227">
        <v>2009</v>
      </c>
      <c r="C227">
        <v>3027</v>
      </c>
      <c r="D227" t="str">
        <f>VLOOKUP('Sales table'!$A:$A,Customers!$A:$H,2,FALSE)</f>
        <v>Lindsey West</v>
      </c>
      <c r="E227">
        <f>VLOOKUP('Sales table'!$A:$A,Customers!$A:$H,4,FALSE)</f>
        <v>19</v>
      </c>
      <c r="F227" t="str">
        <f>VLOOKUP('Sales table'!$A:$A,Customers!$A:$H,5,FALSE)</f>
        <v>Hyderabad</v>
      </c>
      <c r="G227" t="str">
        <f>VLOOKUP($B:$B,Products!$A:$D,2,FALSE)</f>
        <v>Bluetooth Speaker</v>
      </c>
      <c r="H227" t="str">
        <f>VLOOKUP($B:$B,Products!$A:$D,3,FALSE)</f>
        <v>Electronics</v>
      </c>
      <c r="I227">
        <f>VLOOKUP($B:$B,Products!$A:$D,4,FALSE)</f>
        <v>11047</v>
      </c>
      <c r="J227" s="4">
        <f>VLOOKUP($A:$A,Sales!$B:$H,6,FALSE)</f>
        <v>45575</v>
      </c>
      <c r="K227" s="9">
        <f>VLOOKUP($A:$A,Sales!$B:$H,4,FALSE)</f>
        <v>3</v>
      </c>
      <c r="L227" s="5">
        <f t="shared" si="3"/>
        <v>33141</v>
      </c>
    </row>
    <row r="228" spans="1:12" x14ac:dyDescent="0.3">
      <c r="A228">
        <v>1138</v>
      </c>
      <c r="B228">
        <v>2023</v>
      </c>
      <c r="C228">
        <v>3014</v>
      </c>
      <c r="D228" t="str">
        <f>VLOOKUP('Sales table'!$A:$A,Customers!$A:$H,2,FALSE)</f>
        <v>Timothy Wells</v>
      </c>
      <c r="E228">
        <f>VLOOKUP('Sales table'!$A:$A,Customers!$A:$H,4,FALSE)</f>
        <v>18</v>
      </c>
      <c r="F228" t="str">
        <f>VLOOKUP('Sales table'!$A:$A,Customers!$A:$H,5,FALSE)</f>
        <v>Hyderabad</v>
      </c>
      <c r="G228" t="str">
        <f>VLOOKUP($B:$B,Products!$A:$D,2,FALSE)</f>
        <v>Kids Wear</v>
      </c>
      <c r="H228" t="str">
        <f>VLOOKUP($B:$B,Products!$A:$D,3,FALSE)</f>
        <v>Clothing</v>
      </c>
      <c r="I228">
        <f>VLOOKUP($B:$B,Products!$A:$D,4,FALSE)</f>
        <v>4794</v>
      </c>
      <c r="J228" s="4">
        <f>VLOOKUP($A:$A,Sales!$B:$H,6,FALSE)</f>
        <v>45586</v>
      </c>
      <c r="K228" s="9">
        <f>VLOOKUP($A:$A,Sales!$B:$H,4,FALSE)</f>
        <v>1</v>
      </c>
      <c r="L228" s="5">
        <f t="shared" si="3"/>
        <v>4794</v>
      </c>
    </row>
    <row r="229" spans="1:12" x14ac:dyDescent="0.3">
      <c r="A229">
        <v>1204</v>
      </c>
      <c r="B229">
        <v>2023</v>
      </c>
      <c r="C229">
        <v>3028</v>
      </c>
      <c r="D229" t="str">
        <f>VLOOKUP('Sales table'!$A:$A,Customers!$A:$H,2,FALSE)</f>
        <v>William Freeman</v>
      </c>
      <c r="E229">
        <f>VLOOKUP('Sales table'!$A:$A,Customers!$A:$H,4,FALSE)</f>
        <v>49</v>
      </c>
      <c r="F229" t="str">
        <f>VLOOKUP('Sales table'!$A:$A,Customers!$A:$H,5,FALSE)</f>
        <v>Mumbai</v>
      </c>
      <c r="G229" t="str">
        <f>VLOOKUP($B:$B,Products!$A:$D,2,FALSE)</f>
        <v>Kids Wear</v>
      </c>
      <c r="H229" t="str">
        <f>VLOOKUP($B:$B,Products!$A:$D,3,FALSE)</f>
        <v>Clothing</v>
      </c>
      <c r="I229">
        <f>VLOOKUP($B:$B,Products!$A:$D,4,FALSE)</f>
        <v>4794</v>
      </c>
      <c r="J229" s="4">
        <f>VLOOKUP($A:$A,Sales!$B:$H,6,FALSE)</f>
        <v>45582</v>
      </c>
      <c r="K229" s="9">
        <f>VLOOKUP($A:$A,Sales!$B:$H,4,FALSE)</f>
        <v>3</v>
      </c>
      <c r="L229" s="5">
        <f t="shared" si="3"/>
        <v>14382</v>
      </c>
    </row>
    <row r="230" spans="1:12" x14ac:dyDescent="0.3">
      <c r="A230">
        <v>1207</v>
      </c>
      <c r="B230">
        <v>2007</v>
      </c>
      <c r="C230">
        <v>3030</v>
      </c>
      <c r="D230" t="str">
        <f>VLOOKUP('Sales table'!$A:$A,Customers!$A:$H,2,FALSE)</f>
        <v>Jeffrey Curtis</v>
      </c>
      <c r="E230">
        <f>VLOOKUP('Sales table'!$A:$A,Customers!$A:$H,4,FALSE)</f>
        <v>26</v>
      </c>
      <c r="F230" t="str">
        <f>VLOOKUP('Sales table'!$A:$A,Customers!$A:$H,5,FALSE)</f>
        <v>Mumbai</v>
      </c>
      <c r="G230" t="str">
        <f>VLOOKUP($B:$B,Products!$A:$D,2,FALSE)</f>
        <v>Gift Hamper</v>
      </c>
      <c r="H230" t="str">
        <f>VLOOKUP($B:$B,Products!$A:$D,3,FALSE)</f>
        <v>Sweets &amp; Gifts</v>
      </c>
      <c r="I230">
        <f>VLOOKUP($B:$B,Products!$A:$D,4,FALSE)</f>
        <v>3412</v>
      </c>
      <c r="J230" s="4">
        <f>VLOOKUP($A:$A,Sales!$B:$H,6,FALSE)</f>
        <v>45596</v>
      </c>
      <c r="K230" s="9">
        <f>VLOOKUP($A:$A,Sales!$B:$H,4,FALSE)</f>
        <v>1</v>
      </c>
      <c r="L230" s="5">
        <f t="shared" si="3"/>
        <v>3412</v>
      </c>
    </row>
    <row r="231" spans="1:12" x14ac:dyDescent="0.3">
      <c r="A231">
        <v>1265</v>
      </c>
      <c r="B231">
        <v>2008</v>
      </c>
      <c r="C231">
        <v>3004</v>
      </c>
      <c r="D231" t="str">
        <f>VLOOKUP('Sales table'!$A:$A,Customers!$A:$H,2,FALSE)</f>
        <v>Cynthia Chen</v>
      </c>
      <c r="E231">
        <f>VLOOKUP('Sales table'!$A:$A,Customers!$A:$H,4,FALSE)</f>
        <v>30</v>
      </c>
      <c r="F231" t="str">
        <f>VLOOKUP('Sales table'!$A:$A,Customers!$A:$H,5,FALSE)</f>
        <v>Mumbai</v>
      </c>
      <c r="G231" t="str">
        <f>VLOOKUP($B:$B,Products!$A:$D,2,FALSE)</f>
        <v>Earthen Diyas</v>
      </c>
      <c r="H231" t="str">
        <f>VLOOKUP($B:$B,Products!$A:$D,3,FALSE)</f>
        <v>Home Decor</v>
      </c>
      <c r="I231">
        <f>VLOOKUP($B:$B,Products!$A:$D,4,FALSE)</f>
        <v>2136</v>
      </c>
      <c r="J231" s="4">
        <f>VLOOKUP($A:$A,Sales!$B:$H,6,FALSE)</f>
        <v>45602</v>
      </c>
      <c r="K231" s="9">
        <f>VLOOKUP($A:$A,Sales!$B:$H,4,FALSE)</f>
        <v>2</v>
      </c>
      <c r="L231" s="5">
        <f t="shared" si="3"/>
        <v>4272</v>
      </c>
    </row>
    <row r="232" spans="1:12" x14ac:dyDescent="0.3">
      <c r="A232">
        <v>1171</v>
      </c>
      <c r="B232">
        <v>2015</v>
      </c>
      <c r="C232">
        <v>3031</v>
      </c>
      <c r="D232" t="str">
        <f>VLOOKUP('Sales table'!$A:$A,Customers!$A:$H,2,FALSE)</f>
        <v>Brandon Graves</v>
      </c>
      <c r="E232">
        <f>VLOOKUP('Sales table'!$A:$A,Customers!$A:$H,4,FALSE)</f>
        <v>43</v>
      </c>
      <c r="F232" t="str">
        <f>VLOOKUP('Sales table'!$A:$A,Customers!$A:$H,5,FALSE)</f>
        <v>Delhi</v>
      </c>
      <c r="G232" t="str">
        <f>VLOOKUP($B:$B,Products!$A:$D,2,FALSE)</f>
        <v>Candle Set</v>
      </c>
      <c r="H232" t="str">
        <f>VLOOKUP($B:$B,Products!$A:$D,3,FALSE)</f>
        <v>Home Decor</v>
      </c>
      <c r="I232">
        <f>VLOOKUP($B:$B,Products!$A:$D,4,FALSE)</f>
        <v>17604</v>
      </c>
      <c r="J232" s="4">
        <f>VLOOKUP($A:$A,Sales!$B:$H,6,FALSE)</f>
        <v>45616</v>
      </c>
      <c r="K232" s="9">
        <f>VLOOKUP($A:$A,Sales!$B:$H,4,FALSE)</f>
        <v>1</v>
      </c>
      <c r="L232" s="5">
        <f t="shared" si="3"/>
        <v>17604</v>
      </c>
    </row>
    <row r="233" spans="1:12" x14ac:dyDescent="0.3">
      <c r="A233">
        <v>1263</v>
      </c>
      <c r="B233">
        <v>2017</v>
      </c>
      <c r="C233">
        <v>3001</v>
      </c>
      <c r="D233" t="str">
        <f>VLOOKUP('Sales table'!$A:$A,Customers!$A:$H,2,FALSE)</f>
        <v>Jordan Smith</v>
      </c>
      <c r="E233">
        <f>VLOOKUP('Sales table'!$A:$A,Customers!$A:$H,4,FALSE)</f>
        <v>38</v>
      </c>
      <c r="F233" t="str">
        <f>VLOOKUP('Sales table'!$A:$A,Customers!$A:$H,5,FALSE)</f>
        <v>Kolkata</v>
      </c>
      <c r="G233" t="str">
        <f>VLOOKUP($B:$B,Products!$A:$D,2,FALSE)</f>
        <v>Handmade Pottery</v>
      </c>
      <c r="H233" t="str">
        <f>VLOOKUP($B:$B,Products!$A:$D,3,FALSE)</f>
        <v>Home Decor</v>
      </c>
      <c r="I233">
        <f>VLOOKUP($B:$B,Products!$A:$D,4,FALSE)</f>
        <v>8186</v>
      </c>
      <c r="J233" s="4">
        <f>VLOOKUP($A:$A,Sales!$B:$H,6,FALSE)</f>
        <v>45581</v>
      </c>
      <c r="K233" s="9">
        <f>VLOOKUP($A:$A,Sales!$B:$H,4,FALSE)</f>
        <v>1</v>
      </c>
      <c r="L233" s="5">
        <f t="shared" si="3"/>
        <v>8186</v>
      </c>
    </row>
    <row r="234" spans="1:12" x14ac:dyDescent="0.3">
      <c r="A234">
        <v>1286</v>
      </c>
      <c r="B234">
        <v>2001</v>
      </c>
      <c r="C234">
        <v>3017</v>
      </c>
      <c r="D234" t="str">
        <f>VLOOKUP('Sales table'!$A:$A,Customers!$A:$H,2,FALSE)</f>
        <v>Anthony Taylor</v>
      </c>
      <c r="E234">
        <f>VLOOKUP('Sales table'!$A:$A,Customers!$A:$H,4,FALSE)</f>
        <v>33</v>
      </c>
      <c r="F234" t="str">
        <f>VLOOKUP('Sales table'!$A:$A,Customers!$A:$H,5,FALSE)</f>
        <v>Mumbai</v>
      </c>
      <c r="G234" t="str">
        <f>VLOOKUP($B:$B,Products!$A:$D,2,FALSE)</f>
        <v>Sweets Box</v>
      </c>
      <c r="H234" t="str">
        <f>VLOOKUP($B:$B,Products!$A:$D,3,FALSE)</f>
        <v>Sweets &amp; Gifts</v>
      </c>
      <c r="I234">
        <f>VLOOKUP($B:$B,Products!$A:$D,4,FALSE)</f>
        <v>7228</v>
      </c>
      <c r="J234" s="4">
        <f>VLOOKUP($A:$A,Sales!$B:$H,6,FALSE)</f>
        <v>45595</v>
      </c>
      <c r="K234" s="9">
        <f>VLOOKUP($A:$A,Sales!$B:$H,4,FALSE)</f>
        <v>1</v>
      </c>
      <c r="L234" s="5">
        <f t="shared" si="3"/>
        <v>7228</v>
      </c>
    </row>
    <row r="235" spans="1:12" x14ac:dyDescent="0.3">
      <c r="A235">
        <v>1053</v>
      </c>
      <c r="B235">
        <v>2011</v>
      </c>
      <c r="C235">
        <v>3033</v>
      </c>
      <c r="D235" t="str">
        <f>VLOOKUP('Sales table'!$A:$A,Customers!$A:$H,2,FALSE)</f>
        <v>Brandon Martin</v>
      </c>
      <c r="E235">
        <f>VLOOKUP('Sales table'!$A:$A,Customers!$A:$H,4,FALSE)</f>
        <v>52</v>
      </c>
      <c r="F235" t="str">
        <f>VLOOKUP('Sales table'!$A:$A,Customers!$A:$H,5,FALSE)</f>
        <v>Kolkata</v>
      </c>
      <c r="G235" t="str">
        <f>VLOOKUP($B:$B,Products!$A:$D,2,FALSE)</f>
        <v>Festive Thali</v>
      </c>
      <c r="H235" t="str">
        <f>VLOOKUP($B:$B,Products!$A:$D,3,FALSE)</f>
        <v>Other</v>
      </c>
      <c r="I235">
        <f>VLOOKUP($B:$B,Products!$A:$D,4,FALSE)</f>
        <v>7481</v>
      </c>
      <c r="J235" s="4">
        <f>VLOOKUP($A:$A,Sales!$B:$H,6,FALSE)</f>
        <v>45604</v>
      </c>
      <c r="K235" s="9">
        <f>VLOOKUP($A:$A,Sales!$B:$H,4,FALSE)</f>
        <v>3</v>
      </c>
      <c r="L235" s="5">
        <f t="shared" si="3"/>
        <v>22443</v>
      </c>
    </row>
    <row r="236" spans="1:12" x14ac:dyDescent="0.3">
      <c r="A236">
        <v>1257</v>
      </c>
      <c r="B236">
        <v>2004</v>
      </c>
      <c r="C236">
        <v>3002</v>
      </c>
      <c r="D236" t="str">
        <f>VLOOKUP('Sales table'!$A:$A,Customers!$A:$H,2,FALSE)</f>
        <v>Eric Terry</v>
      </c>
      <c r="E236">
        <f>VLOOKUP('Sales table'!$A:$A,Customers!$A:$H,4,FALSE)</f>
        <v>57</v>
      </c>
      <c r="F236" t="str">
        <f>VLOOKUP('Sales table'!$A:$A,Customers!$A:$H,5,FALSE)</f>
        <v>Delhi</v>
      </c>
      <c r="G236" t="str">
        <f>VLOOKUP($B:$B,Products!$A:$D,2,FALSE)</f>
        <v>Smartphone</v>
      </c>
      <c r="H236" t="str">
        <f>VLOOKUP($B:$B,Products!$A:$D,3,FALSE)</f>
        <v>Electronics</v>
      </c>
      <c r="I236">
        <f>VLOOKUP($B:$B,Products!$A:$D,4,FALSE)</f>
        <v>4952</v>
      </c>
      <c r="J236" s="4">
        <f>VLOOKUP($A:$A,Sales!$B:$H,6,FALSE)</f>
        <v>45583</v>
      </c>
      <c r="K236" s="9">
        <f>VLOOKUP($A:$A,Sales!$B:$H,4,FALSE)</f>
        <v>4</v>
      </c>
      <c r="L236" s="5">
        <f t="shared" si="3"/>
        <v>19808</v>
      </c>
    </row>
    <row r="237" spans="1:12" x14ac:dyDescent="0.3">
      <c r="A237">
        <v>1197</v>
      </c>
      <c r="B237">
        <v>2004</v>
      </c>
      <c r="C237">
        <v>3010</v>
      </c>
      <c r="D237" t="str">
        <f>VLOOKUP('Sales table'!$A:$A,Customers!$A:$H,2,FALSE)</f>
        <v>Daniel Price</v>
      </c>
      <c r="E237">
        <f>VLOOKUP('Sales table'!$A:$A,Customers!$A:$H,4,FALSE)</f>
        <v>25</v>
      </c>
      <c r="F237" t="str">
        <f>VLOOKUP('Sales table'!$A:$A,Customers!$A:$H,5,FALSE)</f>
        <v>Kolkata</v>
      </c>
      <c r="G237" t="str">
        <f>VLOOKUP($B:$B,Products!$A:$D,2,FALSE)</f>
        <v>Smartphone</v>
      </c>
      <c r="H237" t="str">
        <f>VLOOKUP($B:$B,Products!$A:$D,3,FALSE)</f>
        <v>Electronics</v>
      </c>
      <c r="I237">
        <f>VLOOKUP($B:$B,Products!$A:$D,4,FALSE)</f>
        <v>4952</v>
      </c>
      <c r="J237" s="4">
        <f>VLOOKUP($A:$A,Sales!$B:$H,6,FALSE)</f>
        <v>45612</v>
      </c>
      <c r="K237" s="9">
        <f>VLOOKUP($A:$A,Sales!$B:$H,4,FALSE)</f>
        <v>5</v>
      </c>
      <c r="L237" s="5">
        <f t="shared" si="3"/>
        <v>24760</v>
      </c>
    </row>
    <row r="238" spans="1:12" x14ac:dyDescent="0.3">
      <c r="A238">
        <v>1123</v>
      </c>
      <c r="B238">
        <v>2023</v>
      </c>
      <c r="C238">
        <v>3030</v>
      </c>
      <c r="D238" t="str">
        <f>VLOOKUP('Sales table'!$A:$A,Customers!$A:$H,2,FALSE)</f>
        <v>Luis Long</v>
      </c>
      <c r="E238">
        <f>VLOOKUP('Sales table'!$A:$A,Customers!$A:$H,4,FALSE)</f>
        <v>53</v>
      </c>
      <c r="F238" t="str">
        <f>VLOOKUP('Sales table'!$A:$A,Customers!$A:$H,5,FALSE)</f>
        <v>Chennai</v>
      </c>
      <c r="G238" t="str">
        <f>VLOOKUP($B:$B,Products!$A:$D,2,FALSE)</f>
        <v>Kids Wear</v>
      </c>
      <c r="H238" t="str">
        <f>VLOOKUP($B:$B,Products!$A:$D,3,FALSE)</f>
        <v>Clothing</v>
      </c>
      <c r="I238">
        <f>VLOOKUP($B:$B,Products!$A:$D,4,FALSE)</f>
        <v>4794</v>
      </c>
      <c r="J238" s="4">
        <f>VLOOKUP($A:$A,Sales!$B:$H,6,FALSE)</f>
        <v>45597</v>
      </c>
      <c r="K238" s="9">
        <f>VLOOKUP($A:$A,Sales!$B:$H,4,FALSE)</f>
        <v>5</v>
      </c>
      <c r="L238" s="5">
        <f t="shared" si="3"/>
        <v>23970</v>
      </c>
    </row>
    <row r="239" spans="1:12" x14ac:dyDescent="0.3">
      <c r="A239">
        <v>1013</v>
      </c>
      <c r="B239">
        <v>2023</v>
      </c>
      <c r="C239">
        <v>3009</v>
      </c>
      <c r="D239" t="str">
        <f>VLOOKUP('Sales table'!$A:$A,Customers!$A:$H,2,FALSE)</f>
        <v>Tara Richardson</v>
      </c>
      <c r="E239">
        <f>VLOOKUP('Sales table'!$A:$A,Customers!$A:$H,4,FALSE)</f>
        <v>44</v>
      </c>
      <c r="F239" t="str">
        <f>VLOOKUP('Sales table'!$A:$A,Customers!$A:$H,5,FALSE)</f>
        <v>Mumbai</v>
      </c>
      <c r="G239" t="str">
        <f>VLOOKUP($B:$B,Products!$A:$D,2,FALSE)</f>
        <v>Kids Wear</v>
      </c>
      <c r="H239" t="str">
        <f>VLOOKUP($B:$B,Products!$A:$D,3,FALSE)</f>
        <v>Clothing</v>
      </c>
      <c r="I239">
        <f>VLOOKUP($B:$B,Products!$A:$D,4,FALSE)</f>
        <v>4794</v>
      </c>
      <c r="J239" s="4">
        <f>VLOOKUP($A:$A,Sales!$B:$H,6,FALSE)</f>
        <v>45609</v>
      </c>
      <c r="K239" s="9">
        <f>VLOOKUP($A:$A,Sales!$B:$H,4,FALSE)</f>
        <v>4</v>
      </c>
      <c r="L239" s="5">
        <f t="shared" si="3"/>
        <v>19176</v>
      </c>
    </row>
    <row r="240" spans="1:12" x14ac:dyDescent="0.3">
      <c r="A240">
        <v>1020</v>
      </c>
      <c r="B240">
        <v>2001</v>
      </c>
      <c r="C240">
        <v>3028</v>
      </c>
      <c r="D240" t="str">
        <f>VLOOKUP('Sales table'!$A:$A,Customers!$A:$H,2,FALSE)</f>
        <v>Mallory Jackson</v>
      </c>
      <c r="E240">
        <f>VLOOKUP('Sales table'!$A:$A,Customers!$A:$H,4,FALSE)</f>
        <v>60</v>
      </c>
      <c r="F240" t="str">
        <f>VLOOKUP('Sales table'!$A:$A,Customers!$A:$H,5,FALSE)</f>
        <v>Kolkata</v>
      </c>
      <c r="G240" t="str">
        <f>VLOOKUP($B:$B,Products!$A:$D,2,FALSE)</f>
        <v>Sweets Box</v>
      </c>
      <c r="H240" t="str">
        <f>VLOOKUP($B:$B,Products!$A:$D,3,FALSE)</f>
        <v>Sweets &amp; Gifts</v>
      </c>
      <c r="I240">
        <f>VLOOKUP($B:$B,Products!$A:$D,4,FALSE)</f>
        <v>7228</v>
      </c>
      <c r="J240" s="4">
        <f>VLOOKUP($A:$A,Sales!$B:$H,6,FALSE)</f>
        <v>45610</v>
      </c>
      <c r="K240" s="9">
        <f>VLOOKUP($A:$A,Sales!$B:$H,4,FALSE)</f>
        <v>4</v>
      </c>
      <c r="L240" s="5">
        <f t="shared" si="3"/>
        <v>28912</v>
      </c>
    </row>
    <row r="241" spans="1:12" x14ac:dyDescent="0.3">
      <c r="A241">
        <v>1191</v>
      </c>
      <c r="B241">
        <v>2004</v>
      </c>
      <c r="C241">
        <v>3010</v>
      </c>
      <c r="D241" t="str">
        <f>VLOOKUP('Sales table'!$A:$A,Customers!$A:$H,2,FALSE)</f>
        <v>Rebekah Caldwell</v>
      </c>
      <c r="E241">
        <f>VLOOKUP('Sales table'!$A:$A,Customers!$A:$H,4,FALSE)</f>
        <v>64</v>
      </c>
      <c r="F241" t="str">
        <f>VLOOKUP('Sales table'!$A:$A,Customers!$A:$H,5,FALSE)</f>
        <v>Pune</v>
      </c>
      <c r="G241" t="str">
        <f>VLOOKUP($B:$B,Products!$A:$D,2,FALSE)</f>
        <v>Smartphone</v>
      </c>
      <c r="H241" t="str">
        <f>VLOOKUP($B:$B,Products!$A:$D,3,FALSE)</f>
        <v>Electronics</v>
      </c>
      <c r="I241">
        <f>VLOOKUP($B:$B,Products!$A:$D,4,FALSE)</f>
        <v>4952</v>
      </c>
      <c r="J241" s="4">
        <f>VLOOKUP($A:$A,Sales!$B:$H,6,FALSE)</f>
        <v>45589</v>
      </c>
      <c r="K241" s="9">
        <f>VLOOKUP($A:$A,Sales!$B:$H,4,FALSE)</f>
        <v>4</v>
      </c>
      <c r="L241" s="5">
        <f t="shared" si="3"/>
        <v>19808</v>
      </c>
    </row>
    <row r="242" spans="1:12" x14ac:dyDescent="0.3">
      <c r="A242">
        <v>1036</v>
      </c>
      <c r="B242">
        <v>2006</v>
      </c>
      <c r="C242">
        <v>3013</v>
      </c>
      <c r="D242" t="str">
        <f>VLOOKUP('Sales table'!$A:$A,Customers!$A:$H,2,FALSE)</f>
        <v>Rebecca Harris</v>
      </c>
      <c r="E242">
        <f>VLOOKUP('Sales table'!$A:$A,Customers!$A:$H,4,FALSE)</f>
        <v>27</v>
      </c>
      <c r="F242" t="str">
        <f>VLOOKUP('Sales table'!$A:$A,Customers!$A:$H,5,FALSE)</f>
        <v>Kolkata</v>
      </c>
      <c r="G242" t="str">
        <f>VLOOKUP($B:$B,Products!$A:$D,2,FALSE)</f>
        <v>Crackers Pack</v>
      </c>
      <c r="H242" t="str">
        <f>VLOOKUP($B:$B,Products!$A:$D,3,FALSE)</f>
        <v>Crackers</v>
      </c>
      <c r="I242">
        <f>VLOOKUP($B:$B,Products!$A:$D,4,FALSE)</f>
        <v>12060</v>
      </c>
      <c r="J242" s="4">
        <f>VLOOKUP($A:$A,Sales!$B:$H,6,FALSE)</f>
        <v>45594</v>
      </c>
      <c r="K242" s="9">
        <f>VLOOKUP($A:$A,Sales!$B:$H,4,FALSE)</f>
        <v>2</v>
      </c>
      <c r="L242" s="5">
        <f t="shared" si="3"/>
        <v>24120</v>
      </c>
    </row>
    <row r="243" spans="1:12" x14ac:dyDescent="0.3">
      <c r="A243">
        <v>1229</v>
      </c>
      <c r="B243">
        <v>2003</v>
      </c>
      <c r="C243">
        <v>3007</v>
      </c>
      <c r="D243" t="str">
        <f>VLOOKUP('Sales table'!$A:$A,Customers!$A:$H,2,FALSE)</f>
        <v>Susan Barry</v>
      </c>
      <c r="E243">
        <f>VLOOKUP('Sales table'!$A:$A,Customers!$A:$H,4,FALSE)</f>
        <v>36</v>
      </c>
      <c r="F243" t="str">
        <f>VLOOKUP('Sales table'!$A:$A,Customers!$A:$H,5,FALSE)</f>
        <v>Pune</v>
      </c>
      <c r="G243" t="str">
        <f>VLOOKUP($B:$B,Products!$A:$D,2,FALSE)</f>
        <v>Kurta</v>
      </c>
      <c r="H243" t="str">
        <f>VLOOKUP($B:$B,Products!$A:$D,3,FALSE)</f>
        <v>Clothing</v>
      </c>
      <c r="I243">
        <f>VLOOKUP($B:$B,Products!$A:$D,4,FALSE)</f>
        <v>13241</v>
      </c>
      <c r="J243" s="4">
        <f>VLOOKUP($A:$A,Sales!$B:$H,6,FALSE)</f>
        <v>45606</v>
      </c>
      <c r="K243" s="9">
        <f>VLOOKUP($A:$A,Sales!$B:$H,4,FALSE)</f>
        <v>3</v>
      </c>
      <c r="L243" s="5">
        <f t="shared" si="3"/>
        <v>39723</v>
      </c>
    </row>
    <row r="244" spans="1:12" x14ac:dyDescent="0.3">
      <c r="A244">
        <v>1237</v>
      </c>
      <c r="B244">
        <v>2014</v>
      </c>
      <c r="C244">
        <v>3029</v>
      </c>
      <c r="D244" t="str">
        <f>VLOOKUP('Sales table'!$A:$A,Customers!$A:$H,2,FALSE)</f>
        <v>Oscar Diaz</v>
      </c>
      <c r="E244">
        <f>VLOOKUP('Sales table'!$A:$A,Customers!$A:$H,4,FALSE)</f>
        <v>49</v>
      </c>
      <c r="F244" t="str">
        <f>VLOOKUP('Sales table'!$A:$A,Customers!$A:$H,5,FALSE)</f>
        <v>Kolkata</v>
      </c>
      <c r="G244" t="str">
        <f>VLOOKUP($B:$B,Products!$A:$D,2,FALSE)</f>
        <v>Gold Coin</v>
      </c>
      <c r="H244" t="str">
        <f>VLOOKUP($B:$B,Products!$A:$D,3,FALSE)</f>
        <v>Precious Items</v>
      </c>
      <c r="I244">
        <f>VLOOKUP($B:$B,Products!$A:$D,4,FALSE)</f>
        <v>13823</v>
      </c>
      <c r="J244" s="4">
        <f>VLOOKUP($A:$A,Sales!$B:$H,6,FALSE)</f>
        <v>45615</v>
      </c>
      <c r="K244" s="9">
        <f>VLOOKUP($A:$A,Sales!$B:$H,4,FALSE)</f>
        <v>5</v>
      </c>
      <c r="L244" s="5">
        <f t="shared" si="3"/>
        <v>69115</v>
      </c>
    </row>
    <row r="245" spans="1:12" x14ac:dyDescent="0.3">
      <c r="A245">
        <v>1020</v>
      </c>
      <c r="B245">
        <v>2020</v>
      </c>
      <c r="C245">
        <v>3034</v>
      </c>
      <c r="D245" t="str">
        <f>VLOOKUP('Sales table'!$A:$A,Customers!$A:$H,2,FALSE)</f>
        <v>Mallory Jackson</v>
      </c>
      <c r="E245">
        <f>VLOOKUP('Sales table'!$A:$A,Customers!$A:$H,4,FALSE)</f>
        <v>60</v>
      </c>
      <c r="F245" t="str">
        <f>VLOOKUP('Sales table'!$A:$A,Customers!$A:$H,5,FALSE)</f>
        <v>Kolkata</v>
      </c>
      <c r="G245" t="str">
        <f>VLOOKUP($B:$B,Products!$A:$D,2,FALSE)</f>
        <v>Ethnic Jewelry</v>
      </c>
      <c r="H245" t="str">
        <f>VLOOKUP($B:$B,Products!$A:$D,3,FALSE)</f>
        <v>Precious Items</v>
      </c>
      <c r="I245">
        <f>VLOOKUP($B:$B,Products!$A:$D,4,FALSE)</f>
        <v>4495</v>
      </c>
      <c r="J245" s="4">
        <f>VLOOKUP($A:$A,Sales!$B:$H,6,FALSE)</f>
        <v>45610</v>
      </c>
      <c r="K245" s="9">
        <f>VLOOKUP($A:$A,Sales!$B:$H,4,FALSE)</f>
        <v>4</v>
      </c>
      <c r="L245" s="5">
        <f t="shared" si="3"/>
        <v>17980</v>
      </c>
    </row>
    <row r="246" spans="1:12" x14ac:dyDescent="0.3">
      <c r="A246">
        <v>1136</v>
      </c>
      <c r="B246">
        <v>2022</v>
      </c>
      <c r="C246">
        <v>3027</v>
      </c>
      <c r="D246" t="str">
        <f>VLOOKUP('Sales table'!$A:$A,Customers!$A:$H,2,FALSE)</f>
        <v>Brooke Oliver</v>
      </c>
      <c r="E246">
        <f>VLOOKUP('Sales table'!$A:$A,Customers!$A:$H,4,FALSE)</f>
        <v>30</v>
      </c>
      <c r="F246" t="str">
        <f>VLOOKUP('Sales table'!$A:$A,Customers!$A:$H,5,FALSE)</f>
        <v>Chennai</v>
      </c>
      <c r="G246" t="str">
        <f>VLOOKUP($B:$B,Products!$A:$D,2,FALSE)</f>
        <v>Home Decor Statue</v>
      </c>
      <c r="H246" t="str">
        <f>VLOOKUP($B:$B,Products!$A:$D,3,FALSE)</f>
        <v>Home Decor</v>
      </c>
      <c r="I246">
        <f>VLOOKUP($B:$B,Products!$A:$D,4,FALSE)</f>
        <v>17149</v>
      </c>
      <c r="J246" s="4">
        <f>VLOOKUP($A:$A,Sales!$B:$H,6,FALSE)</f>
        <v>45587</v>
      </c>
      <c r="K246" s="9">
        <f>VLOOKUP($A:$A,Sales!$B:$H,4,FALSE)</f>
        <v>4</v>
      </c>
      <c r="L246" s="5">
        <f t="shared" si="3"/>
        <v>68596</v>
      </c>
    </row>
    <row r="247" spans="1:12" x14ac:dyDescent="0.3">
      <c r="A247">
        <v>1229</v>
      </c>
      <c r="B247">
        <v>2012</v>
      </c>
      <c r="C247">
        <v>3021</v>
      </c>
      <c r="D247" t="str">
        <f>VLOOKUP('Sales table'!$A:$A,Customers!$A:$H,2,FALSE)</f>
        <v>Susan Barry</v>
      </c>
      <c r="E247">
        <f>VLOOKUP('Sales table'!$A:$A,Customers!$A:$H,4,FALSE)</f>
        <v>36</v>
      </c>
      <c r="F247" t="str">
        <f>VLOOKUP('Sales table'!$A:$A,Customers!$A:$H,5,FALSE)</f>
        <v>Pune</v>
      </c>
      <c r="G247" t="str">
        <f>VLOOKUP($B:$B,Products!$A:$D,2,FALSE)</f>
        <v>Wall Hanging</v>
      </c>
      <c r="H247" t="str">
        <f>VLOOKUP($B:$B,Products!$A:$D,3,FALSE)</f>
        <v>Home Decor</v>
      </c>
      <c r="I247">
        <f>VLOOKUP($B:$B,Products!$A:$D,4,FALSE)</f>
        <v>11867</v>
      </c>
      <c r="J247" s="4">
        <f>VLOOKUP($A:$A,Sales!$B:$H,6,FALSE)</f>
        <v>45606</v>
      </c>
      <c r="K247" s="9">
        <f>VLOOKUP($A:$A,Sales!$B:$H,4,FALSE)</f>
        <v>3</v>
      </c>
      <c r="L247" s="5">
        <f t="shared" si="3"/>
        <v>35601</v>
      </c>
    </row>
    <row r="248" spans="1:12" x14ac:dyDescent="0.3">
      <c r="A248">
        <v>1008</v>
      </c>
      <c r="B248">
        <v>2010</v>
      </c>
      <c r="C248">
        <v>3033</v>
      </c>
      <c r="D248" t="str">
        <f>VLOOKUP('Sales table'!$A:$A,Customers!$A:$H,2,FALSE)</f>
        <v>Elizabeth Woods</v>
      </c>
      <c r="E248">
        <f>VLOOKUP('Sales table'!$A:$A,Customers!$A:$H,4,FALSE)</f>
        <v>61</v>
      </c>
      <c r="F248" t="str">
        <f>VLOOKUP('Sales table'!$A:$A,Customers!$A:$H,5,FALSE)</f>
        <v>Pune</v>
      </c>
      <c r="G248" t="str">
        <f>VLOOKUP($B:$B,Products!$A:$D,2,FALSE)</f>
        <v>Chocolate Box</v>
      </c>
      <c r="H248" t="str">
        <f>VLOOKUP($B:$B,Products!$A:$D,3,FALSE)</f>
        <v>Sweets &amp; Gifts</v>
      </c>
      <c r="I248">
        <f>VLOOKUP($B:$B,Products!$A:$D,4,FALSE)</f>
        <v>17909</v>
      </c>
      <c r="J248" s="4">
        <f>VLOOKUP($A:$A,Sales!$B:$H,6,FALSE)</f>
        <v>45600</v>
      </c>
      <c r="K248" s="9">
        <f>VLOOKUP($A:$A,Sales!$B:$H,4,FALSE)</f>
        <v>2</v>
      </c>
      <c r="L248" s="5">
        <f t="shared" si="3"/>
        <v>35818</v>
      </c>
    </row>
    <row r="249" spans="1:12" x14ac:dyDescent="0.3">
      <c r="A249">
        <v>1059</v>
      </c>
      <c r="B249">
        <v>2003</v>
      </c>
      <c r="C249">
        <v>3023</v>
      </c>
      <c r="D249" t="str">
        <f>VLOOKUP('Sales table'!$A:$A,Customers!$A:$H,2,FALSE)</f>
        <v>Cynthia Johnson</v>
      </c>
      <c r="E249">
        <f>VLOOKUP('Sales table'!$A:$A,Customers!$A:$H,4,FALSE)</f>
        <v>44</v>
      </c>
      <c r="F249" t="str">
        <f>VLOOKUP('Sales table'!$A:$A,Customers!$A:$H,5,FALSE)</f>
        <v>Bangalore</v>
      </c>
      <c r="G249" t="str">
        <f>VLOOKUP($B:$B,Products!$A:$D,2,FALSE)</f>
        <v>Kurta</v>
      </c>
      <c r="H249" t="str">
        <f>VLOOKUP($B:$B,Products!$A:$D,3,FALSE)</f>
        <v>Clothing</v>
      </c>
      <c r="I249">
        <f>VLOOKUP($B:$B,Products!$A:$D,4,FALSE)</f>
        <v>13241</v>
      </c>
      <c r="J249" s="4">
        <f>VLOOKUP($A:$A,Sales!$B:$H,6,FALSE)</f>
        <v>45612</v>
      </c>
      <c r="K249" s="9">
        <f>VLOOKUP($A:$A,Sales!$B:$H,4,FALSE)</f>
        <v>2</v>
      </c>
      <c r="L249" s="5">
        <f t="shared" si="3"/>
        <v>26482</v>
      </c>
    </row>
    <row r="250" spans="1:12" x14ac:dyDescent="0.3">
      <c r="A250">
        <v>1175</v>
      </c>
      <c r="B250">
        <v>2009</v>
      </c>
      <c r="C250">
        <v>3027</v>
      </c>
      <c r="D250" t="str">
        <f>VLOOKUP('Sales table'!$A:$A,Customers!$A:$H,2,FALSE)</f>
        <v>Jeffrey Smith</v>
      </c>
      <c r="E250">
        <f>VLOOKUP('Sales table'!$A:$A,Customers!$A:$H,4,FALSE)</f>
        <v>51</v>
      </c>
      <c r="F250" t="str">
        <f>VLOOKUP('Sales table'!$A:$A,Customers!$A:$H,5,FALSE)</f>
        <v>Kolkata</v>
      </c>
      <c r="G250" t="str">
        <f>VLOOKUP($B:$B,Products!$A:$D,2,FALSE)</f>
        <v>Bluetooth Speaker</v>
      </c>
      <c r="H250" t="str">
        <f>VLOOKUP($B:$B,Products!$A:$D,3,FALSE)</f>
        <v>Electronics</v>
      </c>
      <c r="I250">
        <f>VLOOKUP($B:$B,Products!$A:$D,4,FALSE)</f>
        <v>11047</v>
      </c>
      <c r="J250" s="4">
        <f>VLOOKUP($A:$A,Sales!$B:$H,6,FALSE)</f>
        <v>45611</v>
      </c>
      <c r="K250" s="9">
        <f>VLOOKUP($A:$A,Sales!$B:$H,4,FALSE)</f>
        <v>4</v>
      </c>
      <c r="L250" s="5">
        <f t="shared" si="3"/>
        <v>44188</v>
      </c>
    </row>
    <row r="251" spans="1:12" x14ac:dyDescent="0.3">
      <c r="A251">
        <v>1235</v>
      </c>
      <c r="B251">
        <v>2009</v>
      </c>
      <c r="C251">
        <v>3033</v>
      </c>
      <c r="D251" t="str">
        <f>VLOOKUP('Sales table'!$A:$A,Customers!$A:$H,2,FALSE)</f>
        <v>Shawn Rodriguez</v>
      </c>
      <c r="E251">
        <f>VLOOKUP('Sales table'!$A:$A,Customers!$A:$H,4,FALSE)</f>
        <v>36</v>
      </c>
      <c r="F251" t="str">
        <f>VLOOKUP('Sales table'!$A:$A,Customers!$A:$H,5,FALSE)</f>
        <v>Delhi</v>
      </c>
      <c r="G251" t="str">
        <f>VLOOKUP($B:$B,Products!$A:$D,2,FALSE)</f>
        <v>Bluetooth Speaker</v>
      </c>
      <c r="H251" t="str">
        <f>VLOOKUP($B:$B,Products!$A:$D,3,FALSE)</f>
        <v>Electronics</v>
      </c>
      <c r="I251">
        <f>VLOOKUP($B:$B,Products!$A:$D,4,FALSE)</f>
        <v>11047</v>
      </c>
      <c r="J251" s="4">
        <f>VLOOKUP($A:$A,Sales!$B:$H,6,FALSE)</f>
        <v>45587</v>
      </c>
      <c r="K251" s="9">
        <f>VLOOKUP($A:$A,Sales!$B:$H,4,FALSE)</f>
        <v>2</v>
      </c>
      <c r="L251" s="5">
        <f t="shared" si="3"/>
        <v>22094</v>
      </c>
    </row>
    <row r="252" spans="1:12" x14ac:dyDescent="0.3">
      <c r="A252">
        <v>1116</v>
      </c>
      <c r="B252">
        <v>2009</v>
      </c>
      <c r="C252">
        <v>3035</v>
      </c>
      <c r="D252" t="str">
        <f>VLOOKUP('Sales table'!$A:$A,Customers!$A:$H,2,FALSE)</f>
        <v>Connie Rogers</v>
      </c>
      <c r="E252">
        <f>VLOOKUP('Sales table'!$A:$A,Customers!$A:$H,4,FALSE)</f>
        <v>33</v>
      </c>
      <c r="F252" t="str">
        <f>VLOOKUP('Sales table'!$A:$A,Customers!$A:$H,5,FALSE)</f>
        <v>Mumbai</v>
      </c>
      <c r="G252" t="str">
        <f>VLOOKUP($B:$B,Products!$A:$D,2,FALSE)</f>
        <v>Bluetooth Speaker</v>
      </c>
      <c r="H252" t="str">
        <f>VLOOKUP($B:$B,Products!$A:$D,3,FALSE)</f>
        <v>Electronics</v>
      </c>
      <c r="I252">
        <f>VLOOKUP($B:$B,Products!$A:$D,4,FALSE)</f>
        <v>11047</v>
      </c>
      <c r="J252" s="4">
        <f>VLOOKUP($A:$A,Sales!$B:$H,6,FALSE)</f>
        <v>45586</v>
      </c>
      <c r="K252" s="9">
        <f>VLOOKUP($A:$A,Sales!$B:$H,4,FALSE)</f>
        <v>5</v>
      </c>
      <c r="L252" s="5">
        <f t="shared" si="3"/>
        <v>55235</v>
      </c>
    </row>
    <row r="253" spans="1:12" x14ac:dyDescent="0.3">
      <c r="A253">
        <v>1164</v>
      </c>
      <c r="B253">
        <v>2016</v>
      </c>
      <c r="C253">
        <v>3026</v>
      </c>
      <c r="D253" t="str">
        <f>VLOOKUP('Sales table'!$A:$A,Customers!$A:$H,2,FALSE)</f>
        <v>Craig Washington</v>
      </c>
      <c r="E253">
        <f>VLOOKUP('Sales table'!$A:$A,Customers!$A:$H,4,FALSE)</f>
        <v>37</v>
      </c>
      <c r="F253" t="str">
        <f>VLOOKUP('Sales table'!$A:$A,Customers!$A:$H,5,FALSE)</f>
        <v>Delhi</v>
      </c>
      <c r="G253" t="str">
        <f>VLOOKUP($B:$B,Products!$A:$D,2,FALSE)</f>
        <v>Fairy Lights</v>
      </c>
      <c r="H253" t="str">
        <f>VLOOKUP($B:$B,Products!$A:$D,3,FALSE)</f>
        <v>Home Decor</v>
      </c>
      <c r="I253">
        <f>VLOOKUP($B:$B,Products!$A:$D,4,FALSE)</f>
        <v>12242</v>
      </c>
      <c r="J253" s="4">
        <f>VLOOKUP($A:$A,Sales!$B:$H,6,FALSE)</f>
        <v>45596</v>
      </c>
      <c r="K253" s="9">
        <f>VLOOKUP($A:$A,Sales!$B:$H,4,FALSE)</f>
        <v>4</v>
      </c>
      <c r="L253" s="5">
        <f t="shared" si="3"/>
        <v>48968</v>
      </c>
    </row>
    <row r="254" spans="1:12" x14ac:dyDescent="0.3">
      <c r="A254">
        <v>1194</v>
      </c>
      <c r="B254">
        <v>2014</v>
      </c>
      <c r="C254">
        <v>3009</v>
      </c>
      <c r="D254" t="str">
        <f>VLOOKUP('Sales table'!$A:$A,Customers!$A:$H,2,FALSE)</f>
        <v>Danielle Davis</v>
      </c>
      <c r="E254">
        <f>VLOOKUP('Sales table'!$A:$A,Customers!$A:$H,4,FALSE)</f>
        <v>41</v>
      </c>
      <c r="F254" t="str">
        <f>VLOOKUP('Sales table'!$A:$A,Customers!$A:$H,5,FALSE)</f>
        <v>Chennai</v>
      </c>
      <c r="G254" t="str">
        <f>VLOOKUP($B:$B,Products!$A:$D,2,FALSE)</f>
        <v>Gold Coin</v>
      </c>
      <c r="H254" t="str">
        <f>VLOOKUP($B:$B,Products!$A:$D,3,FALSE)</f>
        <v>Precious Items</v>
      </c>
      <c r="I254">
        <f>VLOOKUP($B:$B,Products!$A:$D,4,FALSE)</f>
        <v>13823</v>
      </c>
      <c r="J254" s="4">
        <f>VLOOKUP($A:$A,Sales!$B:$H,6,FALSE)</f>
        <v>45614</v>
      </c>
      <c r="K254" s="9">
        <f>VLOOKUP($A:$A,Sales!$B:$H,4,FALSE)</f>
        <v>2</v>
      </c>
      <c r="L254" s="5">
        <f t="shared" si="3"/>
        <v>27646</v>
      </c>
    </row>
    <row r="255" spans="1:12" x14ac:dyDescent="0.3">
      <c r="A255">
        <v>1241</v>
      </c>
      <c r="B255">
        <v>2004</v>
      </c>
      <c r="C255">
        <v>3013</v>
      </c>
      <c r="D255" t="str">
        <f>VLOOKUP('Sales table'!$A:$A,Customers!$A:$H,2,FALSE)</f>
        <v>Juan Romero</v>
      </c>
      <c r="E255">
        <f>VLOOKUP('Sales table'!$A:$A,Customers!$A:$H,4,FALSE)</f>
        <v>44</v>
      </c>
      <c r="F255" t="str">
        <f>VLOOKUP('Sales table'!$A:$A,Customers!$A:$H,5,FALSE)</f>
        <v>Hyderabad</v>
      </c>
      <c r="G255" t="str">
        <f>VLOOKUP($B:$B,Products!$A:$D,2,FALSE)</f>
        <v>Smartphone</v>
      </c>
      <c r="H255" t="str">
        <f>VLOOKUP($B:$B,Products!$A:$D,3,FALSE)</f>
        <v>Electronics</v>
      </c>
      <c r="I255">
        <f>VLOOKUP($B:$B,Products!$A:$D,4,FALSE)</f>
        <v>4952</v>
      </c>
      <c r="J255" s="4">
        <f>VLOOKUP($A:$A,Sales!$B:$H,6,FALSE)</f>
        <v>45609</v>
      </c>
      <c r="K255" s="9">
        <f>VLOOKUP($A:$A,Sales!$B:$H,4,FALSE)</f>
        <v>3</v>
      </c>
      <c r="L255" s="5">
        <f t="shared" si="3"/>
        <v>14856</v>
      </c>
    </row>
    <row r="256" spans="1:12" x14ac:dyDescent="0.3">
      <c r="A256">
        <v>1248</v>
      </c>
      <c r="B256">
        <v>2006</v>
      </c>
      <c r="C256">
        <v>3011</v>
      </c>
      <c r="D256" t="str">
        <f>VLOOKUP('Sales table'!$A:$A,Customers!$A:$H,2,FALSE)</f>
        <v>Karen Anderson</v>
      </c>
      <c r="E256">
        <f>VLOOKUP('Sales table'!$A:$A,Customers!$A:$H,4,FALSE)</f>
        <v>18</v>
      </c>
      <c r="F256" t="str">
        <f>VLOOKUP('Sales table'!$A:$A,Customers!$A:$H,5,FALSE)</f>
        <v>Mumbai</v>
      </c>
      <c r="G256" t="str">
        <f>VLOOKUP($B:$B,Products!$A:$D,2,FALSE)</f>
        <v>Crackers Pack</v>
      </c>
      <c r="H256" t="str">
        <f>VLOOKUP($B:$B,Products!$A:$D,3,FALSE)</f>
        <v>Crackers</v>
      </c>
      <c r="I256">
        <f>VLOOKUP($B:$B,Products!$A:$D,4,FALSE)</f>
        <v>12060</v>
      </c>
      <c r="J256" s="4">
        <f>VLOOKUP($A:$A,Sales!$B:$H,6,FALSE)</f>
        <v>45601</v>
      </c>
      <c r="K256" s="9">
        <f>VLOOKUP($A:$A,Sales!$B:$H,4,FALSE)</f>
        <v>5</v>
      </c>
      <c r="L256" s="5">
        <f t="shared" si="3"/>
        <v>60300</v>
      </c>
    </row>
    <row r="257" spans="1:12" x14ac:dyDescent="0.3">
      <c r="A257">
        <v>1218</v>
      </c>
      <c r="B257">
        <v>2013</v>
      </c>
      <c r="C257">
        <v>3014</v>
      </c>
      <c r="D257" t="str">
        <f>VLOOKUP('Sales table'!$A:$A,Customers!$A:$H,2,FALSE)</f>
        <v>Robert Baker</v>
      </c>
      <c r="E257">
        <f>VLOOKUP('Sales table'!$A:$A,Customers!$A:$H,4,FALSE)</f>
        <v>22</v>
      </c>
      <c r="F257" t="str">
        <f>VLOOKUP('Sales table'!$A:$A,Customers!$A:$H,5,FALSE)</f>
        <v>Pune</v>
      </c>
      <c r="G257" t="str">
        <f>VLOOKUP($B:$B,Products!$A:$D,2,FALSE)</f>
        <v>Silver Coin</v>
      </c>
      <c r="H257" t="str">
        <f>VLOOKUP($B:$B,Products!$A:$D,3,FALSE)</f>
        <v>Precious Items</v>
      </c>
      <c r="I257">
        <f>VLOOKUP($B:$B,Products!$A:$D,4,FALSE)</f>
        <v>11845</v>
      </c>
      <c r="J257" s="4">
        <f>VLOOKUP($A:$A,Sales!$B:$H,6,FALSE)</f>
        <v>45594</v>
      </c>
      <c r="K257" s="9">
        <f>VLOOKUP($A:$A,Sales!$B:$H,4,FALSE)</f>
        <v>3</v>
      </c>
      <c r="L257" s="5">
        <f t="shared" si="3"/>
        <v>35535</v>
      </c>
    </row>
    <row r="258" spans="1:12" x14ac:dyDescent="0.3">
      <c r="A258">
        <v>1021</v>
      </c>
      <c r="B258">
        <v>2019</v>
      </c>
      <c r="C258">
        <v>3028</v>
      </c>
      <c r="D258" t="str">
        <f>VLOOKUP('Sales table'!$A:$A,Customers!$A:$H,2,FALSE)</f>
        <v>Margaret Harris</v>
      </c>
      <c r="E258">
        <f>VLOOKUP('Sales table'!$A:$A,Customers!$A:$H,4,FALSE)</f>
        <v>33</v>
      </c>
      <c r="F258" t="str">
        <f>VLOOKUP('Sales table'!$A:$A,Customers!$A:$H,5,FALSE)</f>
        <v>Hyderabad</v>
      </c>
      <c r="G258" t="str">
        <f>VLOOKUP($B:$B,Products!$A:$D,2,FALSE)</f>
        <v>Designer Kurti</v>
      </c>
      <c r="H258" t="str">
        <f>VLOOKUP($B:$B,Products!$A:$D,3,FALSE)</f>
        <v>Clothing</v>
      </c>
      <c r="I258">
        <f>VLOOKUP($B:$B,Products!$A:$D,4,FALSE)</f>
        <v>13620</v>
      </c>
      <c r="J258" s="4">
        <f>VLOOKUP($A:$A,Sales!$B:$H,6,FALSE)</f>
        <v>45612</v>
      </c>
      <c r="K258" s="9">
        <f>VLOOKUP($A:$A,Sales!$B:$H,4,FALSE)</f>
        <v>5</v>
      </c>
      <c r="L258" s="5">
        <f t="shared" si="3"/>
        <v>68100</v>
      </c>
    </row>
    <row r="259" spans="1:12" x14ac:dyDescent="0.3">
      <c r="A259">
        <v>1121</v>
      </c>
      <c r="B259">
        <v>2008</v>
      </c>
      <c r="C259">
        <v>3030</v>
      </c>
      <c r="D259" t="str">
        <f>VLOOKUP('Sales table'!$A:$A,Customers!$A:$H,2,FALSE)</f>
        <v>Vincent Fuller</v>
      </c>
      <c r="E259">
        <f>VLOOKUP('Sales table'!$A:$A,Customers!$A:$H,4,FALSE)</f>
        <v>25</v>
      </c>
      <c r="F259" t="str">
        <f>VLOOKUP('Sales table'!$A:$A,Customers!$A:$H,5,FALSE)</f>
        <v>Delhi</v>
      </c>
      <c r="G259" t="str">
        <f>VLOOKUP($B:$B,Products!$A:$D,2,FALSE)</f>
        <v>Earthen Diyas</v>
      </c>
      <c r="H259" t="str">
        <f>VLOOKUP($B:$B,Products!$A:$D,3,FALSE)</f>
        <v>Home Decor</v>
      </c>
      <c r="I259">
        <f>VLOOKUP($B:$B,Products!$A:$D,4,FALSE)</f>
        <v>2136</v>
      </c>
      <c r="J259" s="4">
        <f>VLOOKUP($A:$A,Sales!$B:$H,6,FALSE)</f>
        <v>45577</v>
      </c>
      <c r="K259" s="9">
        <f>VLOOKUP($A:$A,Sales!$B:$H,4,FALSE)</f>
        <v>2</v>
      </c>
      <c r="L259" s="5">
        <f t="shared" ref="L259:L322" si="4">I259*K259</f>
        <v>4272</v>
      </c>
    </row>
    <row r="260" spans="1:12" x14ac:dyDescent="0.3">
      <c r="A260">
        <v>1232</v>
      </c>
      <c r="B260">
        <v>2008</v>
      </c>
      <c r="C260">
        <v>3018</v>
      </c>
      <c r="D260" t="str">
        <f>VLOOKUP('Sales table'!$A:$A,Customers!$A:$H,2,FALSE)</f>
        <v>Joshua Craig</v>
      </c>
      <c r="E260">
        <f>VLOOKUP('Sales table'!$A:$A,Customers!$A:$H,4,FALSE)</f>
        <v>29</v>
      </c>
      <c r="F260" t="str">
        <f>VLOOKUP('Sales table'!$A:$A,Customers!$A:$H,5,FALSE)</f>
        <v>Pune</v>
      </c>
      <c r="G260" t="str">
        <f>VLOOKUP($B:$B,Products!$A:$D,2,FALSE)</f>
        <v>Earthen Diyas</v>
      </c>
      <c r="H260" t="str">
        <f>VLOOKUP($B:$B,Products!$A:$D,3,FALSE)</f>
        <v>Home Decor</v>
      </c>
      <c r="I260">
        <f>VLOOKUP($B:$B,Products!$A:$D,4,FALSE)</f>
        <v>2136</v>
      </c>
      <c r="J260" s="4">
        <f>VLOOKUP($A:$A,Sales!$B:$H,6,FALSE)</f>
        <v>45609</v>
      </c>
      <c r="K260" s="9">
        <f>VLOOKUP($A:$A,Sales!$B:$H,4,FALSE)</f>
        <v>1</v>
      </c>
      <c r="L260" s="5">
        <f t="shared" si="4"/>
        <v>2136</v>
      </c>
    </row>
    <row r="261" spans="1:12" x14ac:dyDescent="0.3">
      <c r="A261">
        <v>1086</v>
      </c>
      <c r="B261">
        <v>2006</v>
      </c>
      <c r="C261">
        <v>3033</v>
      </c>
      <c r="D261" t="str">
        <f>VLOOKUP('Sales table'!$A:$A,Customers!$A:$H,2,FALSE)</f>
        <v>Michael Henderson</v>
      </c>
      <c r="E261">
        <f>VLOOKUP('Sales table'!$A:$A,Customers!$A:$H,4,FALSE)</f>
        <v>25</v>
      </c>
      <c r="F261" t="str">
        <f>VLOOKUP('Sales table'!$A:$A,Customers!$A:$H,5,FALSE)</f>
        <v>Kolkata</v>
      </c>
      <c r="G261" t="str">
        <f>VLOOKUP($B:$B,Products!$A:$D,2,FALSE)</f>
        <v>Crackers Pack</v>
      </c>
      <c r="H261" t="str">
        <f>VLOOKUP($B:$B,Products!$A:$D,3,FALSE)</f>
        <v>Crackers</v>
      </c>
      <c r="I261">
        <f>VLOOKUP($B:$B,Products!$A:$D,4,FALSE)</f>
        <v>12060</v>
      </c>
      <c r="J261" s="4">
        <f>VLOOKUP($A:$A,Sales!$B:$H,6,FALSE)</f>
        <v>45590</v>
      </c>
      <c r="K261" s="9">
        <f>VLOOKUP($A:$A,Sales!$B:$H,4,FALSE)</f>
        <v>2</v>
      </c>
      <c r="L261" s="5">
        <f t="shared" si="4"/>
        <v>24120</v>
      </c>
    </row>
    <row r="262" spans="1:12" x14ac:dyDescent="0.3">
      <c r="A262">
        <v>1167</v>
      </c>
      <c r="B262">
        <v>2011</v>
      </c>
      <c r="C262">
        <v>3030</v>
      </c>
      <c r="D262" t="str">
        <f>VLOOKUP('Sales table'!$A:$A,Customers!$A:$H,2,FALSE)</f>
        <v>Tracy Hernandez</v>
      </c>
      <c r="E262">
        <f>VLOOKUP('Sales table'!$A:$A,Customers!$A:$H,4,FALSE)</f>
        <v>65</v>
      </c>
      <c r="F262" t="str">
        <f>VLOOKUP('Sales table'!$A:$A,Customers!$A:$H,5,FALSE)</f>
        <v>Bangalore</v>
      </c>
      <c r="G262" t="str">
        <f>VLOOKUP($B:$B,Products!$A:$D,2,FALSE)</f>
        <v>Festive Thali</v>
      </c>
      <c r="H262" t="str">
        <f>VLOOKUP($B:$B,Products!$A:$D,3,FALSE)</f>
        <v>Other</v>
      </c>
      <c r="I262">
        <f>VLOOKUP($B:$B,Products!$A:$D,4,FALSE)</f>
        <v>7481</v>
      </c>
      <c r="J262" s="4">
        <f>VLOOKUP($A:$A,Sales!$B:$H,6,FALSE)</f>
        <v>45602</v>
      </c>
      <c r="K262" s="9">
        <f>VLOOKUP($A:$A,Sales!$B:$H,4,FALSE)</f>
        <v>3</v>
      </c>
      <c r="L262" s="5">
        <f t="shared" si="4"/>
        <v>22443</v>
      </c>
    </row>
    <row r="263" spans="1:12" x14ac:dyDescent="0.3">
      <c r="A263">
        <v>1151</v>
      </c>
      <c r="B263">
        <v>2006</v>
      </c>
      <c r="C263">
        <v>3023</v>
      </c>
      <c r="D263" t="str">
        <f>VLOOKUP('Sales table'!$A:$A,Customers!$A:$H,2,FALSE)</f>
        <v>Cynthia Simpson</v>
      </c>
      <c r="E263">
        <f>VLOOKUP('Sales table'!$A:$A,Customers!$A:$H,4,FALSE)</f>
        <v>58</v>
      </c>
      <c r="F263" t="str">
        <f>VLOOKUP('Sales table'!$A:$A,Customers!$A:$H,5,FALSE)</f>
        <v>Delhi</v>
      </c>
      <c r="G263" t="str">
        <f>VLOOKUP($B:$B,Products!$A:$D,2,FALSE)</f>
        <v>Crackers Pack</v>
      </c>
      <c r="H263" t="str">
        <f>VLOOKUP($B:$B,Products!$A:$D,3,FALSE)</f>
        <v>Crackers</v>
      </c>
      <c r="I263">
        <f>VLOOKUP($B:$B,Products!$A:$D,4,FALSE)</f>
        <v>12060</v>
      </c>
      <c r="J263" s="4">
        <f>VLOOKUP($A:$A,Sales!$B:$H,6,FALSE)</f>
        <v>45581</v>
      </c>
      <c r="K263" s="9">
        <f>VLOOKUP($A:$A,Sales!$B:$H,4,FALSE)</f>
        <v>4</v>
      </c>
      <c r="L263" s="5">
        <f t="shared" si="4"/>
        <v>48240</v>
      </c>
    </row>
    <row r="264" spans="1:12" x14ac:dyDescent="0.3">
      <c r="A264">
        <v>1029</v>
      </c>
      <c r="B264">
        <v>2007</v>
      </c>
      <c r="C264">
        <v>3003</v>
      </c>
      <c r="D264" t="str">
        <f>VLOOKUP('Sales table'!$A:$A,Customers!$A:$H,2,FALSE)</f>
        <v>Leonard Smith</v>
      </c>
      <c r="E264">
        <f>VLOOKUP('Sales table'!$A:$A,Customers!$A:$H,4,FALSE)</f>
        <v>49</v>
      </c>
      <c r="F264" t="str">
        <f>VLOOKUP('Sales table'!$A:$A,Customers!$A:$H,5,FALSE)</f>
        <v>Hyderabad</v>
      </c>
      <c r="G264" t="str">
        <f>VLOOKUP($B:$B,Products!$A:$D,2,FALSE)</f>
        <v>Gift Hamper</v>
      </c>
      <c r="H264" t="str">
        <f>VLOOKUP($B:$B,Products!$A:$D,3,FALSE)</f>
        <v>Sweets &amp; Gifts</v>
      </c>
      <c r="I264">
        <f>VLOOKUP($B:$B,Products!$A:$D,4,FALSE)</f>
        <v>3412</v>
      </c>
      <c r="J264" s="4">
        <f>VLOOKUP($A:$A,Sales!$B:$H,6,FALSE)</f>
        <v>45592</v>
      </c>
      <c r="K264" s="9">
        <f>VLOOKUP($A:$A,Sales!$B:$H,4,FALSE)</f>
        <v>2</v>
      </c>
      <c r="L264" s="5">
        <f t="shared" si="4"/>
        <v>6824</v>
      </c>
    </row>
    <row r="265" spans="1:12" x14ac:dyDescent="0.3">
      <c r="A265">
        <v>1071</v>
      </c>
      <c r="B265">
        <v>2018</v>
      </c>
      <c r="C265">
        <v>3013</v>
      </c>
      <c r="D265" t="str">
        <f>VLOOKUP('Sales table'!$A:$A,Customers!$A:$H,2,FALSE)</f>
        <v>Jennifer Martin</v>
      </c>
      <c r="E265">
        <f>VLOOKUP('Sales table'!$A:$A,Customers!$A:$H,4,FALSE)</f>
        <v>58</v>
      </c>
      <c r="F265" t="str">
        <f>VLOOKUP('Sales table'!$A:$A,Customers!$A:$H,5,FALSE)</f>
        <v>Chennai</v>
      </c>
      <c r="G265" t="str">
        <f>VLOOKUP($B:$B,Products!$A:$D,2,FALSE)</f>
        <v>Dry Fruits Pack</v>
      </c>
      <c r="H265" t="str">
        <f>VLOOKUP($B:$B,Products!$A:$D,3,FALSE)</f>
        <v>Sweets &amp; Gifts</v>
      </c>
      <c r="I265">
        <f>VLOOKUP($B:$B,Products!$A:$D,4,FALSE)</f>
        <v>7243</v>
      </c>
      <c r="J265" s="4">
        <f>VLOOKUP($A:$A,Sales!$B:$H,6,FALSE)</f>
        <v>45593</v>
      </c>
      <c r="K265" s="9">
        <f>VLOOKUP($A:$A,Sales!$B:$H,4,FALSE)</f>
        <v>1</v>
      </c>
      <c r="L265" s="5">
        <f t="shared" si="4"/>
        <v>7243</v>
      </c>
    </row>
    <row r="266" spans="1:12" x14ac:dyDescent="0.3">
      <c r="A266">
        <v>1238</v>
      </c>
      <c r="B266">
        <v>2014</v>
      </c>
      <c r="C266">
        <v>3027</v>
      </c>
      <c r="D266" t="str">
        <f>VLOOKUP('Sales table'!$A:$A,Customers!$A:$H,2,FALSE)</f>
        <v>Steven Hogan</v>
      </c>
      <c r="E266">
        <f>VLOOKUP('Sales table'!$A:$A,Customers!$A:$H,4,FALSE)</f>
        <v>46</v>
      </c>
      <c r="F266" t="str">
        <f>VLOOKUP('Sales table'!$A:$A,Customers!$A:$H,5,FALSE)</f>
        <v>Chennai</v>
      </c>
      <c r="G266" t="str">
        <f>VLOOKUP($B:$B,Products!$A:$D,2,FALSE)</f>
        <v>Gold Coin</v>
      </c>
      <c r="H266" t="str">
        <f>VLOOKUP($B:$B,Products!$A:$D,3,FALSE)</f>
        <v>Precious Items</v>
      </c>
      <c r="I266">
        <f>VLOOKUP($B:$B,Products!$A:$D,4,FALSE)</f>
        <v>13823</v>
      </c>
      <c r="J266" s="4">
        <f>VLOOKUP($A:$A,Sales!$B:$H,6,FALSE)</f>
        <v>45602</v>
      </c>
      <c r="K266" s="9">
        <f>VLOOKUP($A:$A,Sales!$B:$H,4,FALSE)</f>
        <v>3</v>
      </c>
      <c r="L266" s="5">
        <f t="shared" si="4"/>
        <v>41469</v>
      </c>
    </row>
    <row r="267" spans="1:12" x14ac:dyDescent="0.3">
      <c r="A267">
        <v>1116</v>
      </c>
      <c r="B267">
        <v>2011</v>
      </c>
      <c r="C267">
        <v>3031</v>
      </c>
      <c r="D267" t="str">
        <f>VLOOKUP('Sales table'!$A:$A,Customers!$A:$H,2,FALSE)</f>
        <v>Connie Rogers</v>
      </c>
      <c r="E267">
        <f>VLOOKUP('Sales table'!$A:$A,Customers!$A:$H,4,FALSE)</f>
        <v>33</v>
      </c>
      <c r="F267" t="str">
        <f>VLOOKUP('Sales table'!$A:$A,Customers!$A:$H,5,FALSE)</f>
        <v>Mumbai</v>
      </c>
      <c r="G267" t="str">
        <f>VLOOKUP($B:$B,Products!$A:$D,2,FALSE)</f>
        <v>Festive Thali</v>
      </c>
      <c r="H267" t="str">
        <f>VLOOKUP($B:$B,Products!$A:$D,3,FALSE)</f>
        <v>Other</v>
      </c>
      <c r="I267">
        <f>VLOOKUP($B:$B,Products!$A:$D,4,FALSE)</f>
        <v>7481</v>
      </c>
      <c r="J267" s="4">
        <f>VLOOKUP($A:$A,Sales!$B:$H,6,FALSE)</f>
        <v>45586</v>
      </c>
      <c r="K267" s="9">
        <f>VLOOKUP($A:$A,Sales!$B:$H,4,FALSE)</f>
        <v>5</v>
      </c>
      <c r="L267" s="5">
        <f t="shared" si="4"/>
        <v>37405</v>
      </c>
    </row>
    <row r="268" spans="1:12" x14ac:dyDescent="0.3">
      <c r="A268">
        <v>1001</v>
      </c>
      <c r="B268">
        <v>2001</v>
      </c>
      <c r="C268">
        <v>3018</v>
      </c>
      <c r="D268" t="str">
        <f>VLOOKUP('Sales table'!$A:$A,Customers!$A:$H,2,FALSE)</f>
        <v>Michael Mitchell</v>
      </c>
      <c r="E268">
        <f>VLOOKUP('Sales table'!$A:$A,Customers!$A:$H,4,FALSE)</f>
        <v>35</v>
      </c>
      <c r="F268" t="str">
        <f>VLOOKUP('Sales table'!$A:$A,Customers!$A:$H,5,FALSE)</f>
        <v>Mumbai</v>
      </c>
      <c r="G268" t="str">
        <f>VLOOKUP($B:$B,Products!$A:$D,2,FALSE)</f>
        <v>Sweets Box</v>
      </c>
      <c r="H268" t="str">
        <f>VLOOKUP($B:$B,Products!$A:$D,3,FALSE)</f>
        <v>Sweets &amp; Gifts</v>
      </c>
      <c r="I268">
        <f>VLOOKUP($B:$B,Products!$A:$D,4,FALSE)</f>
        <v>7228</v>
      </c>
      <c r="J268" s="4">
        <f>VLOOKUP($A:$A,Sales!$B:$H,6,FALSE)</f>
        <v>45592</v>
      </c>
      <c r="K268" s="9">
        <f>VLOOKUP($A:$A,Sales!$B:$H,4,FALSE)</f>
        <v>1</v>
      </c>
      <c r="L268" s="5">
        <f t="shared" si="4"/>
        <v>7228</v>
      </c>
    </row>
    <row r="269" spans="1:12" x14ac:dyDescent="0.3">
      <c r="A269">
        <v>1065</v>
      </c>
      <c r="B269">
        <v>2002</v>
      </c>
      <c r="C269">
        <v>3021</v>
      </c>
      <c r="D269" t="str">
        <f>VLOOKUP('Sales table'!$A:$A,Customers!$A:$H,2,FALSE)</f>
        <v>Carrie Hammond</v>
      </c>
      <c r="E269">
        <f>VLOOKUP('Sales table'!$A:$A,Customers!$A:$H,4,FALSE)</f>
        <v>35</v>
      </c>
      <c r="F269" t="str">
        <f>VLOOKUP('Sales table'!$A:$A,Customers!$A:$H,5,FALSE)</f>
        <v>Pune</v>
      </c>
      <c r="G269" t="str">
        <f>VLOOKUP($B:$B,Products!$A:$D,2,FALSE)</f>
        <v>Saree</v>
      </c>
      <c r="H269" t="str">
        <f>VLOOKUP($B:$B,Products!$A:$D,3,FALSE)</f>
        <v>Clothing</v>
      </c>
      <c r="I269">
        <f>VLOOKUP($B:$B,Products!$A:$D,4,FALSE)</f>
        <v>9534</v>
      </c>
      <c r="J269" s="4">
        <f>VLOOKUP($A:$A,Sales!$B:$H,6,FALSE)</f>
        <v>45575</v>
      </c>
      <c r="K269" s="9">
        <f>VLOOKUP($A:$A,Sales!$B:$H,4,FALSE)</f>
        <v>1</v>
      </c>
      <c r="L269" s="5">
        <f t="shared" si="4"/>
        <v>9534</v>
      </c>
    </row>
    <row r="270" spans="1:12" x14ac:dyDescent="0.3">
      <c r="A270">
        <v>1282</v>
      </c>
      <c r="B270">
        <v>2019</v>
      </c>
      <c r="C270">
        <v>3024</v>
      </c>
      <c r="D270" t="str">
        <f>VLOOKUP('Sales table'!$A:$A,Customers!$A:$H,2,FALSE)</f>
        <v>Brett Sanchez</v>
      </c>
      <c r="E270">
        <f>VLOOKUP('Sales table'!$A:$A,Customers!$A:$H,4,FALSE)</f>
        <v>50</v>
      </c>
      <c r="F270" t="str">
        <f>VLOOKUP('Sales table'!$A:$A,Customers!$A:$H,5,FALSE)</f>
        <v>Kolkata</v>
      </c>
      <c r="G270" t="str">
        <f>VLOOKUP($B:$B,Products!$A:$D,2,FALSE)</f>
        <v>Designer Kurti</v>
      </c>
      <c r="H270" t="str">
        <f>VLOOKUP($B:$B,Products!$A:$D,3,FALSE)</f>
        <v>Clothing</v>
      </c>
      <c r="I270">
        <f>VLOOKUP($B:$B,Products!$A:$D,4,FALSE)</f>
        <v>13620</v>
      </c>
      <c r="J270" s="4">
        <f>VLOOKUP($A:$A,Sales!$B:$H,6,FALSE)</f>
        <v>45585</v>
      </c>
      <c r="K270" s="9">
        <f>VLOOKUP($A:$A,Sales!$B:$H,4,FALSE)</f>
        <v>2</v>
      </c>
      <c r="L270" s="5">
        <f t="shared" si="4"/>
        <v>27240</v>
      </c>
    </row>
    <row r="271" spans="1:12" x14ac:dyDescent="0.3">
      <c r="A271">
        <v>1008</v>
      </c>
      <c r="B271">
        <v>2016</v>
      </c>
      <c r="C271">
        <v>3013</v>
      </c>
      <c r="D271" t="str">
        <f>VLOOKUP('Sales table'!$A:$A,Customers!$A:$H,2,FALSE)</f>
        <v>Elizabeth Woods</v>
      </c>
      <c r="E271">
        <f>VLOOKUP('Sales table'!$A:$A,Customers!$A:$H,4,FALSE)</f>
        <v>61</v>
      </c>
      <c r="F271" t="str">
        <f>VLOOKUP('Sales table'!$A:$A,Customers!$A:$H,5,FALSE)</f>
        <v>Pune</v>
      </c>
      <c r="G271" t="str">
        <f>VLOOKUP($B:$B,Products!$A:$D,2,FALSE)</f>
        <v>Fairy Lights</v>
      </c>
      <c r="H271" t="str">
        <f>VLOOKUP($B:$B,Products!$A:$D,3,FALSE)</f>
        <v>Home Decor</v>
      </c>
      <c r="I271">
        <f>VLOOKUP($B:$B,Products!$A:$D,4,FALSE)</f>
        <v>12242</v>
      </c>
      <c r="J271" s="4">
        <f>VLOOKUP($A:$A,Sales!$B:$H,6,FALSE)</f>
        <v>45600</v>
      </c>
      <c r="K271" s="9">
        <f>VLOOKUP($A:$A,Sales!$B:$H,4,FALSE)</f>
        <v>2</v>
      </c>
      <c r="L271" s="5">
        <f t="shared" si="4"/>
        <v>24484</v>
      </c>
    </row>
    <row r="272" spans="1:12" x14ac:dyDescent="0.3">
      <c r="A272">
        <v>1229</v>
      </c>
      <c r="B272">
        <v>2024</v>
      </c>
      <c r="C272">
        <v>3016</v>
      </c>
      <c r="D272" t="str">
        <f>VLOOKUP('Sales table'!$A:$A,Customers!$A:$H,2,FALSE)</f>
        <v>Susan Barry</v>
      </c>
      <c r="E272">
        <f>VLOOKUP('Sales table'!$A:$A,Customers!$A:$H,4,FALSE)</f>
        <v>36</v>
      </c>
      <c r="F272" t="str">
        <f>VLOOKUP('Sales table'!$A:$A,Customers!$A:$H,5,FALSE)</f>
        <v>Pune</v>
      </c>
      <c r="G272" t="str">
        <f>VLOOKUP($B:$B,Products!$A:$D,2,FALSE)</f>
        <v>Perfume Gift Set</v>
      </c>
      <c r="H272" t="str">
        <f>VLOOKUP($B:$B,Products!$A:$D,3,FALSE)</f>
        <v>Accessories</v>
      </c>
      <c r="I272">
        <f>VLOOKUP($B:$B,Products!$A:$D,4,FALSE)</f>
        <v>16272</v>
      </c>
      <c r="J272" s="4">
        <f>VLOOKUP($A:$A,Sales!$B:$H,6,FALSE)</f>
        <v>45606</v>
      </c>
      <c r="K272" s="9">
        <f>VLOOKUP($A:$A,Sales!$B:$H,4,FALSE)</f>
        <v>3</v>
      </c>
      <c r="L272" s="5">
        <f t="shared" si="4"/>
        <v>48816</v>
      </c>
    </row>
    <row r="273" spans="1:12" x14ac:dyDescent="0.3">
      <c r="A273">
        <v>1213</v>
      </c>
      <c r="B273">
        <v>2024</v>
      </c>
      <c r="C273">
        <v>3004</v>
      </c>
      <c r="D273" t="str">
        <f>VLOOKUP('Sales table'!$A:$A,Customers!$A:$H,2,FALSE)</f>
        <v>Michael Compton</v>
      </c>
      <c r="E273">
        <f>VLOOKUP('Sales table'!$A:$A,Customers!$A:$H,4,FALSE)</f>
        <v>55</v>
      </c>
      <c r="F273" t="str">
        <f>VLOOKUP('Sales table'!$A:$A,Customers!$A:$H,5,FALSE)</f>
        <v>Mumbai</v>
      </c>
      <c r="G273" t="str">
        <f>VLOOKUP($B:$B,Products!$A:$D,2,FALSE)</f>
        <v>Perfume Gift Set</v>
      </c>
      <c r="H273" t="str">
        <f>VLOOKUP($B:$B,Products!$A:$D,3,FALSE)</f>
        <v>Accessories</v>
      </c>
      <c r="I273">
        <f>VLOOKUP($B:$B,Products!$A:$D,4,FALSE)</f>
        <v>16272</v>
      </c>
      <c r="J273" s="4">
        <f>VLOOKUP($A:$A,Sales!$B:$H,6,FALSE)</f>
        <v>45615</v>
      </c>
      <c r="K273" s="9">
        <f>VLOOKUP($A:$A,Sales!$B:$H,4,FALSE)</f>
        <v>1</v>
      </c>
      <c r="L273" s="5">
        <f t="shared" si="4"/>
        <v>16272</v>
      </c>
    </row>
    <row r="274" spans="1:12" x14ac:dyDescent="0.3">
      <c r="A274">
        <v>1099</v>
      </c>
      <c r="B274">
        <v>2025</v>
      </c>
      <c r="C274">
        <v>3020</v>
      </c>
      <c r="D274" t="str">
        <f>VLOOKUP('Sales table'!$A:$A,Customers!$A:$H,2,FALSE)</f>
        <v>Paul Chan</v>
      </c>
      <c r="E274">
        <f>VLOOKUP('Sales table'!$A:$A,Customers!$A:$H,4,FALSE)</f>
        <v>62</v>
      </c>
      <c r="F274" t="str">
        <f>VLOOKUP('Sales table'!$A:$A,Customers!$A:$H,5,FALSE)</f>
        <v>Hyderabad</v>
      </c>
      <c r="G274" t="str">
        <f>VLOOKUP($B:$B,Products!$A:$D,2,FALSE)</f>
        <v>Handbag</v>
      </c>
      <c r="H274" t="str">
        <f>VLOOKUP($B:$B,Products!$A:$D,3,FALSE)</f>
        <v>Accessories</v>
      </c>
      <c r="I274">
        <f>VLOOKUP($B:$B,Products!$A:$D,4,FALSE)</f>
        <v>17019</v>
      </c>
      <c r="J274" s="4">
        <f>VLOOKUP($A:$A,Sales!$B:$H,6,FALSE)</f>
        <v>45601</v>
      </c>
      <c r="K274" s="9">
        <f>VLOOKUP($A:$A,Sales!$B:$H,4,FALSE)</f>
        <v>5</v>
      </c>
      <c r="L274" s="5">
        <f t="shared" si="4"/>
        <v>85095</v>
      </c>
    </row>
    <row r="275" spans="1:12" x14ac:dyDescent="0.3">
      <c r="A275">
        <v>1060</v>
      </c>
      <c r="B275">
        <v>2021</v>
      </c>
      <c r="C275">
        <v>3032</v>
      </c>
      <c r="D275" t="str">
        <f>VLOOKUP('Sales table'!$A:$A,Customers!$A:$H,2,FALSE)</f>
        <v>Kayla Aguilar</v>
      </c>
      <c r="E275">
        <f>VLOOKUP('Sales table'!$A:$A,Customers!$A:$H,4,FALSE)</f>
        <v>27</v>
      </c>
      <c r="F275" t="str">
        <f>VLOOKUP('Sales table'!$A:$A,Customers!$A:$H,5,FALSE)</f>
        <v>Hyderabad</v>
      </c>
      <c r="G275" t="str">
        <f>VLOOKUP($B:$B,Products!$A:$D,2,FALSE)</f>
        <v>Smartwatch</v>
      </c>
      <c r="H275" t="str">
        <f>VLOOKUP($B:$B,Products!$A:$D,3,FALSE)</f>
        <v>Electronics</v>
      </c>
      <c r="I275">
        <f>VLOOKUP($B:$B,Products!$A:$D,4,FALSE)</f>
        <v>17586</v>
      </c>
      <c r="J275" s="4">
        <f>VLOOKUP($A:$A,Sales!$B:$H,6,FALSE)</f>
        <v>45585</v>
      </c>
      <c r="K275" s="9">
        <f>VLOOKUP($A:$A,Sales!$B:$H,4,FALSE)</f>
        <v>5</v>
      </c>
      <c r="L275" s="5">
        <f t="shared" si="4"/>
        <v>87930</v>
      </c>
    </row>
    <row r="276" spans="1:12" x14ac:dyDescent="0.3">
      <c r="A276">
        <v>1092</v>
      </c>
      <c r="B276">
        <v>2019</v>
      </c>
      <c r="C276">
        <v>3029</v>
      </c>
      <c r="D276" t="str">
        <f>VLOOKUP('Sales table'!$A:$A,Customers!$A:$H,2,FALSE)</f>
        <v>Joseph Thomas</v>
      </c>
      <c r="E276">
        <f>VLOOKUP('Sales table'!$A:$A,Customers!$A:$H,4,FALSE)</f>
        <v>23</v>
      </c>
      <c r="F276" t="str">
        <f>VLOOKUP('Sales table'!$A:$A,Customers!$A:$H,5,FALSE)</f>
        <v>Hyderabad</v>
      </c>
      <c r="G276" t="str">
        <f>VLOOKUP($B:$B,Products!$A:$D,2,FALSE)</f>
        <v>Designer Kurti</v>
      </c>
      <c r="H276" t="str">
        <f>VLOOKUP($B:$B,Products!$A:$D,3,FALSE)</f>
        <v>Clothing</v>
      </c>
      <c r="I276">
        <f>VLOOKUP($B:$B,Products!$A:$D,4,FALSE)</f>
        <v>13620</v>
      </c>
      <c r="J276" s="4">
        <f>VLOOKUP($A:$A,Sales!$B:$H,6,FALSE)</f>
        <v>45611</v>
      </c>
      <c r="K276" s="9">
        <f>VLOOKUP($A:$A,Sales!$B:$H,4,FALSE)</f>
        <v>5</v>
      </c>
      <c r="L276" s="5">
        <f t="shared" si="4"/>
        <v>68100</v>
      </c>
    </row>
    <row r="277" spans="1:12" x14ac:dyDescent="0.3">
      <c r="A277">
        <v>1075</v>
      </c>
      <c r="B277">
        <v>2024</v>
      </c>
      <c r="C277">
        <v>3027</v>
      </c>
      <c r="D277" t="str">
        <f>VLOOKUP('Sales table'!$A:$A,Customers!$A:$H,2,FALSE)</f>
        <v>Alexa Potts</v>
      </c>
      <c r="E277">
        <f>VLOOKUP('Sales table'!$A:$A,Customers!$A:$H,4,FALSE)</f>
        <v>44</v>
      </c>
      <c r="F277" t="str">
        <f>VLOOKUP('Sales table'!$A:$A,Customers!$A:$H,5,FALSE)</f>
        <v>Bangalore</v>
      </c>
      <c r="G277" t="str">
        <f>VLOOKUP($B:$B,Products!$A:$D,2,FALSE)</f>
        <v>Perfume Gift Set</v>
      </c>
      <c r="H277" t="str">
        <f>VLOOKUP($B:$B,Products!$A:$D,3,FALSE)</f>
        <v>Accessories</v>
      </c>
      <c r="I277">
        <f>VLOOKUP($B:$B,Products!$A:$D,4,FALSE)</f>
        <v>16272</v>
      </c>
      <c r="J277" s="4">
        <f>VLOOKUP($A:$A,Sales!$B:$H,6,FALSE)</f>
        <v>45612</v>
      </c>
      <c r="K277" s="9">
        <f>VLOOKUP($A:$A,Sales!$B:$H,4,FALSE)</f>
        <v>1</v>
      </c>
      <c r="L277" s="5">
        <f t="shared" si="4"/>
        <v>16272</v>
      </c>
    </row>
    <row r="278" spans="1:12" x14ac:dyDescent="0.3">
      <c r="A278">
        <v>1165</v>
      </c>
      <c r="B278">
        <v>2017</v>
      </c>
      <c r="C278">
        <v>3026</v>
      </c>
      <c r="D278" t="str">
        <f>VLOOKUP('Sales table'!$A:$A,Customers!$A:$H,2,FALSE)</f>
        <v>Amanda Carter</v>
      </c>
      <c r="E278">
        <f>VLOOKUP('Sales table'!$A:$A,Customers!$A:$H,4,FALSE)</f>
        <v>38</v>
      </c>
      <c r="F278" t="str">
        <f>VLOOKUP('Sales table'!$A:$A,Customers!$A:$H,5,FALSE)</f>
        <v>Kolkata</v>
      </c>
      <c r="G278" t="str">
        <f>VLOOKUP($B:$B,Products!$A:$D,2,FALSE)</f>
        <v>Handmade Pottery</v>
      </c>
      <c r="H278" t="str">
        <f>VLOOKUP($B:$B,Products!$A:$D,3,FALSE)</f>
        <v>Home Decor</v>
      </c>
      <c r="I278">
        <f>VLOOKUP($B:$B,Products!$A:$D,4,FALSE)</f>
        <v>8186</v>
      </c>
      <c r="J278" s="4">
        <f>VLOOKUP($A:$A,Sales!$B:$H,6,FALSE)</f>
        <v>45612</v>
      </c>
      <c r="K278" s="9">
        <f>VLOOKUP($A:$A,Sales!$B:$H,4,FALSE)</f>
        <v>4</v>
      </c>
      <c r="L278" s="5">
        <f t="shared" si="4"/>
        <v>32744</v>
      </c>
    </row>
    <row r="279" spans="1:12" x14ac:dyDescent="0.3">
      <c r="A279">
        <v>1068</v>
      </c>
      <c r="B279">
        <v>2007</v>
      </c>
      <c r="C279">
        <v>3013</v>
      </c>
      <c r="D279" t="str">
        <f>VLOOKUP('Sales table'!$A:$A,Customers!$A:$H,2,FALSE)</f>
        <v>Tiffany Brown</v>
      </c>
      <c r="E279">
        <f>VLOOKUP('Sales table'!$A:$A,Customers!$A:$H,4,FALSE)</f>
        <v>44</v>
      </c>
      <c r="F279" t="str">
        <f>VLOOKUP('Sales table'!$A:$A,Customers!$A:$H,5,FALSE)</f>
        <v>Mumbai</v>
      </c>
      <c r="G279" t="str">
        <f>VLOOKUP($B:$B,Products!$A:$D,2,FALSE)</f>
        <v>Gift Hamper</v>
      </c>
      <c r="H279" t="str">
        <f>VLOOKUP($B:$B,Products!$A:$D,3,FALSE)</f>
        <v>Sweets &amp; Gifts</v>
      </c>
      <c r="I279">
        <f>VLOOKUP($B:$B,Products!$A:$D,4,FALSE)</f>
        <v>3412</v>
      </c>
      <c r="J279" s="4">
        <f>VLOOKUP($A:$A,Sales!$B:$H,6,FALSE)</f>
        <v>45591</v>
      </c>
      <c r="K279" s="9">
        <f>VLOOKUP($A:$A,Sales!$B:$H,4,FALSE)</f>
        <v>2</v>
      </c>
      <c r="L279" s="5">
        <f t="shared" si="4"/>
        <v>6824</v>
      </c>
    </row>
    <row r="280" spans="1:12" x14ac:dyDescent="0.3">
      <c r="A280">
        <v>1055</v>
      </c>
      <c r="B280">
        <v>2008</v>
      </c>
      <c r="C280">
        <v>3026</v>
      </c>
      <c r="D280" t="str">
        <f>VLOOKUP('Sales table'!$A:$A,Customers!$A:$H,2,FALSE)</f>
        <v>Tina Armstrong</v>
      </c>
      <c r="E280">
        <f>VLOOKUP('Sales table'!$A:$A,Customers!$A:$H,4,FALSE)</f>
        <v>44</v>
      </c>
      <c r="F280" t="str">
        <f>VLOOKUP('Sales table'!$A:$A,Customers!$A:$H,5,FALSE)</f>
        <v>Mumbai</v>
      </c>
      <c r="G280" t="str">
        <f>VLOOKUP($B:$B,Products!$A:$D,2,FALSE)</f>
        <v>Earthen Diyas</v>
      </c>
      <c r="H280" t="str">
        <f>VLOOKUP($B:$B,Products!$A:$D,3,FALSE)</f>
        <v>Home Decor</v>
      </c>
      <c r="I280">
        <f>VLOOKUP($B:$B,Products!$A:$D,4,FALSE)</f>
        <v>2136</v>
      </c>
      <c r="J280" s="4">
        <f>VLOOKUP($A:$A,Sales!$B:$H,6,FALSE)</f>
        <v>45582</v>
      </c>
      <c r="K280" s="9">
        <f>VLOOKUP($A:$A,Sales!$B:$H,4,FALSE)</f>
        <v>1</v>
      </c>
      <c r="L280" s="5">
        <f t="shared" si="4"/>
        <v>2136</v>
      </c>
    </row>
    <row r="281" spans="1:12" x14ac:dyDescent="0.3">
      <c r="A281">
        <v>1029</v>
      </c>
      <c r="B281">
        <v>2011</v>
      </c>
      <c r="C281">
        <v>3027</v>
      </c>
      <c r="D281" t="str">
        <f>VLOOKUP('Sales table'!$A:$A,Customers!$A:$H,2,FALSE)</f>
        <v>Leonard Smith</v>
      </c>
      <c r="E281">
        <f>VLOOKUP('Sales table'!$A:$A,Customers!$A:$H,4,FALSE)</f>
        <v>49</v>
      </c>
      <c r="F281" t="str">
        <f>VLOOKUP('Sales table'!$A:$A,Customers!$A:$H,5,FALSE)</f>
        <v>Hyderabad</v>
      </c>
      <c r="G281" t="str">
        <f>VLOOKUP($B:$B,Products!$A:$D,2,FALSE)</f>
        <v>Festive Thali</v>
      </c>
      <c r="H281" t="str">
        <f>VLOOKUP($B:$B,Products!$A:$D,3,FALSE)</f>
        <v>Other</v>
      </c>
      <c r="I281">
        <f>VLOOKUP($B:$B,Products!$A:$D,4,FALSE)</f>
        <v>7481</v>
      </c>
      <c r="J281" s="4">
        <f>VLOOKUP($A:$A,Sales!$B:$H,6,FALSE)</f>
        <v>45592</v>
      </c>
      <c r="K281" s="9">
        <f>VLOOKUP($A:$A,Sales!$B:$H,4,FALSE)</f>
        <v>2</v>
      </c>
      <c r="L281" s="5">
        <f t="shared" si="4"/>
        <v>14962</v>
      </c>
    </row>
    <row r="282" spans="1:12" x14ac:dyDescent="0.3">
      <c r="A282">
        <v>1235</v>
      </c>
      <c r="B282">
        <v>2024</v>
      </c>
      <c r="C282">
        <v>3003</v>
      </c>
      <c r="D282" t="str">
        <f>VLOOKUP('Sales table'!$A:$A,Customers!$A:$H,2,FALSE)</f>
        <v>Shawn Rodriguez</v>
      </c>
      <c r="E282">
        <f>VLOOKUP('Sales table'!$A:$A,Customers!$A:$H,4,FALSE)</f>
        <v>36</v>
      </c>
      <c r="F282" t="str">
        <f>VLOOKUP('Sales table'!$A:$A,Customers!$A:$H,5,FALSE)</f>
        <v>Delhi</v>
      </c>
      <c r="G282" t="str">
        <f>VLOOKUP($B:$B,Products!$A:$D,2,FALSE)</f>
        <v>Perfume Gift Set</v>
      </c>
      <c r="H282" t="str">
        <f>VLOOKUP($B:$B,Products!$A:$D,3,FALSE)</f>
        <v>Accessories</v>
      </c>
      <c r="I282">
        <f>VLOOKUP($B:$B,Products!$A:$D,4,FALSE)</f>
        <v>16272</v>
      </c>
      <c r="J282" s="4">
        <f>VLOOKUP($A:$A,Sales!$B:$H,6,FALSE)</f>
        <v>45587</v>
      </c>
      <c r="K282" s="9">
        <f>VLOOKUP($A:$A,Sales!$B:$H,4,FALSE)</f>
        <v>2</v>
      </c>
      <c r="L282" s="5">
        <f t="shared" si="4"/>
        <v>32544</v>
      </c>
    </row>
    <row r="283" spans="1:12" x14ac:dyDescent="0.3">
      <c r="A283">
        <v>1115</v>
      </c>
      <c r="B283">
        <v>2001</v>
      </c>
      <c r="C283">
        <v>3010</v>
      </c>
      <c r="D283" t="str">
        <f>VLOOKUP('Sales table'!$A:$A,Customers!$A:$H,2,FALSE)</f>
        <v>Valerie Winters</v>
      </c>
      <c r="E283">
        <f>VLOOKUP('Sales table'!$A:$A,Customers!$A:$H,4,FALSE)</f>
        <v>61</v>
      </c>
      <c r="F283" t="str">
        <f>VLOOKUP('Sales table'!$A:$A,Customers!$A:$H,5,FALSE)</f>
        <v>Delhi</v>
      </c>
      <c r="G283" t="str">
        <f>VLOOKUP($B:$B,Products!$A:$D,2,FALSE)</f>
        <v>Sweets Box</v>
      </c>
      <c r="H283" t="str">
        <f>VLOOKUP($B:$B,Products!$A:$D,3,FALSE)</f>
        <v>Sweets &amp; Gifts</v>
      </c>
      <c r="I283">
        <f>VLOOKUP($B:$B,Products!$A:$D,4,FALSE)</f>
        <v>7228</v>
      </c>
      <c r="J283" s="4">
        <f>VLOOKUP($A:$A,Sales!$B:$H,6,FALSE)</f>
        <v>45593</v>
      </c>
      <c r="K283" s="9">
        <f>VLOOKUP($A:$A,Sales!$B:$H,4,FALSE)</f>
        <v>4</v>
      </c>
      <c r="L283" s="5">
        <f t="shared" si="4"/>
        <v>28912</v>
      </c>
    </row>
    <row r="284" spans="1:12" x14ac:dyDescent="0.3">
      <c r="A284">
        <v>1236</v>
      </c>
      <c r="B284">
        <v>2003</v>
      </c>
      <c r="C284">
        <v>3025</v>
      </c>
      <c r="D284" t="str">
        <f>VLOOKUP('Sales table'!$A:$A,Customers!$A:$H,2,FALSE)</f>
        <v>Kimberly Clay</v>
      </c>
      <c r="E284">
        <f>VLOOKUP('Sales table'!$A:$A,Customers!$A:$H,4,FALSE)</f>
        <v>60</v>
      </c>
      <c r="F284" t="str">
        <f>VLOOKUP('Sales table'!$A:$A,Customers!$A:$H,5,FALSE)</f>
        <v>Delhi</v>
      </c>
      <c r="G284" t="str">
        <f>VLOOKUP($B:$B,Products!$A:$D,2,FALSE)</f>
        <v>Kurta</v>
      </c>
      <c r="H284" t="str">
        <f>VLOOKUP($B:$B,Products!$A:$D,3,FALSE)</f>
        <v>Clothing</v>
      </c>
      <c r="I284">
        <f>VLOOKUP($B:$B,Products!$A:$D,4,FALSE)</f>
        <v>13241</v>
      </c>
      <c r="J284" s="4">
        <f>VLOOKUP($A:$A,Sales!$B:$H,6,FALSE)</f>
        <v>45598</v>
      </c>
      <c r="K284" s="9">
        <f>VLOOKUP($A:$A,Sales!$B:$H,4,FALSE)</f>
        <v>3</v>
      </c>
      <c r="L284" s="5">
        <f t="shared" si="4"/>
        <v>39723</v>
      </c>
    </row>
    <row r="285" spans="1:12" x14ac:dyDescent="0.3">
      <c r="A285">
        <v>1078</v>
      </c>
      <c r="B285">
        <v>2025</v>
      </c>
      <c r="C285">
        <v>3002</v>
      </c>
      <c r="D285" t="str">
        <f>VLOOKUP('Sales table'!$A:$A,Customers!$A:$H,2,FALSE)</f>
        <v>Jerry Newman</v>
      </c>
      <c r="E285">
        <f>VLOOKUP('Sales table'!$A:$A,Customers!$A:$H,4,FALSE)</f>
        <v>19</v>
      </c>
      <c r="F285" t="str">
        <f>VLOOKUP('Sales table'!$A:$A,Customers!$A:$H,5,FALSE)</f>
        <v>Delhi</v>
      </c>
      <c r="G285" t="str">
        <f>VLOOKUP($B:$B,Products!$A:$D,2,FALSE)</f>
        <v>Handbag</v>
      </c>
      <c r="H285" t="str">
        <f>VLOOKUP($B:$B,Products!$A:$D,3,FALSE)</f>
        <v>Accessories</v>
      </c>
      <c r="I285">
        <f>VLOOKUP($B:$B,Products!$A:$D,4,FALSE)</f>
        <v>17019</v>
      </c>
      <c r="J285" s="4">
        <f>VLOOKUP($A:$A,Sales!$B:$H,6,FALSE)</f>
        <v>45610</v>
      </c>
      <c r="K285" s="9">
        <f>VLOOKUP($A:$A,Sales!$B:$H,4,FALSE)</f>
        <v>5</v>
      </c>
      <c r="L285" s="5">
        <f t="shared" si="4"/>
        <v>85095</v>
      </c>
    </row>
    <row r="286" spans="1:12" x14ac:dyDescent="0.3">
      <c r="A286">
        <v>1100</v>
      </c>
      <c r="B286">
        <v>2002</v>
      </c>
      <c r="C286">
        <v>3013</v>
      </c>
      <c r="D286" t="str">
        <f>VLOOKUP('Sales table'!$A:$A,Customers!$A:$H,2,FALSE)</f>
        <v>Michael Escobar</v>
      </c>
      <c r="E286">
        <f>VLOOKUP('Sales table'!$A:$A,Customers!$A:$H,4,FALSE)</f>
        <v>33</v>
      </c>
      <c r="F286" t="str">
        <f>VLOOKUP('Sales table'!$A:$A,Customers!$A:$H,5,FALSE)</f>
        <v>Bangalore</v>
      </c>
      <c r="G286" t="str">
        <f>VLOOKUP($B:$B,Products!$A:$D,2,FALSE)</f>
        <v>Saree</v>
      </c>
      <c r="H286" t="str">
        <f>VLOOKUP($B:$B,Products!$A:$D,3,FALSE)</f>
        <v>Clothing</v>
      </c>
      <c r="I286">
        <f>VLOOKUP($B:$B,Products!$A:$D,4,FALSE)</f>
        <v>9534</v>
      </c>
      <c r="J286" s="4">
        <f>VLOOKUP($A:$A,Sales!$B:$H,6,FALSE)</f>
        <v>45612</v>
      </c>
      <c r="K286" s="9">
        <f>VLOOKUP($A:$A,Sales!$B:$H,4,FALSE)</f>
        <v>1</v>
      </c>
      <c r="L286" s="5">
        <f t="shared" si="4"/>
        <v>9534</v>
      </c>
    </row>
    <row r="287" spans="1:12" x14ac:dyDescent="0.3">
      <c r="A287">
        <v>1141</v>
      </c>
      <c r="B287">
        <v>2001</v>
      </c>
      <c r="C287">
        <v>3004</v>
      </c>
      <c r="D287" t="str">
        <f>VLOOKUP('Sales table'!$A:$A,Customers!$A:$H,2,FALSE)</f>
        <v>Pamela Smith</v>
      </c>
      <c r="E287">
        <f>VLOOKUP('Sales table'!$A:$A,Customers!$A:$H,4,FALSE)</f>
        <v>40</v>
      </c>
      <c r="F287" t="str">
        <f>VLOOKUP('Sales table'!$A:$A,Customers!$A:$H,5,FALSE)</f>
        <v>Bangalore</v>
      </c>
      <c r="G287" t="str">
        <f>VLOOKUP($B:$B,Products!$A:$D,2,FALSE)</f>
        <v>Sweets Box</v>
      </c>
      <c r="H287" t="str">
        <f>VLOOKUP($B:$B,Products!$A:$D,3,FALSE)</f>
        <v>Sweets &amp; Gifts</v>
      </c>
      <c r="I287">
        <f>VLOOKUP($B:$B,Products!$A:$D,4,FALSE)</f>
        <v>7228</v>
      </c>
      <c r="J287" s="4">
        <f>VLOOKUP($A:$A,Sales!$B:$H,6,FALSE)</f>
        <v>45584</v>
      </c>
      <c r="K287" s="9">
        <f>VLOOKUP($A:$A,Sales!$B:$H,4,FALSE)</f>
        <v>5</v>
      </c>
      <c r="L287" s="5">
        <f t="shared" si="4"/>
        <v>36140</v>
      </c>
    </row>
    <row r="288" spans="1:12" x14ac:dyDescent="0.3">
      <c r="A288">
        <v>1300</v>
      </c>
      <c r="B288">
        <v>2011</v>
      </c>
      <c r="C288">
        <v>3031</v>
      </c>
      <c r="D288" t="str">
        <f>VLOOKUP('Sales table'!$A:$A,Customers!$A:$H,2,FALSE)</f>
        <v>Shelly Marsh</v>
      </c>
      <c r="E288">
        <f>VLOOKUP('Sales table'!$A:$A,Customers!$A:$H,4,FALSE)</f>
        <v>24</v>
      </c>
      <c r="F288" t="str">
        <f>VLOOKUP('Sales table'!$A:$A,Customers!$A:$H,5,FALSE)</f>
        <v>Pune</v>
      </c>
      <c r="G288" t="str">
        <f>VLOOKUP($B:$B,Products!$A:$D,2,FALSE)</f>
        <v>Festive Thali</v>
      </c>
      <c r="H288" t="str">
        <f>VLOOKUP($B:$B,Products!$A:$D,3,FALSE)</f>
        <v>Other</v>
      </c>
      <c r="I288">
        <f>VLOOKUP($B:$B,Products!$A:$D,4,FALSE)</f>
        <v>7481</v>
      </c>
      <c r="J288" s="4">
        <f>VLOOKUP($A:$A,Sales!$B:$H,6,FALSE)</f>
        <v>45578</v>
      </c>
      <c r="K288" s="9">
        <f>VLOOKUP($A:$A,Sales!$B:$H,4,FALSE)</f>
        <v>2</v>
      </c>
      <c r="L288" s="5">
        <f t="shared" si="4"/>
        <v>14962</v>
      </c>
    </row>
    <row r="289" spans="1:12" x14ac:dyDescent="0.3">
      <c r="A289">
        <v>1063</v>
      </c>
      <c r="B289">
        <v>2008</v>
      </c>
      <c r="C289">
        <v>3004</v>
      </c>
      <c r="D289" t="str">
        <f>VLOOKUP('Sales table'!$A:$A,Customers!$A:$H,2,FALSE)</f>
        <v>Michael Williams</v>
      </c>
      <c r="E289">
        <f>VLOOKUP('Sales table'!$A:$A,Customers!$A:$H,4,FALSE)</f>
        <v>60</v>
      </c>
      <c r="F289" t="str">
        <f>VLOOKUP('Sales table'!$A:$A,Customers!$A:$H,5,FALSE)</f>
        <v>Mumbai</v>
      </c>
      <c r="G289" t="str">
        <f>VLOOKUP($B:$B,Products!$A:$D,2,FALSE)</f>
        <v>Earthen Diyas</v>
      </c>
      <c r="H289" t="str">
        <f>VLOOKUP($B:$B,Products!$A:$D,3,FALSE)</f>
        <v>Home Decor</v>
      </c>
      <c r="I289">
        <f>VLOOKUP($B:$B,Products!$A:$D,4,FALSE)</f>
        <v>2136</v>
      </c>
      <c r="J289" s="4">
        <f>VLOOKUP($A:$A,Sales!$B:$H,6,FALSE)</f>
        <v>45579</v>
      </c>
      <c r="K289" s="9">
        <f>VLOOKUP($A:$A,Sales!$B:$H,4,FALSE)</f>
        <v>5</v>
      </c>
      <c r="L289" s="5">
        <f t="shared" si="4"/>
        <v>10680</v>
      </c>
    </row>
    <row r="290" spans="1:12" x14ac:dyDescent="0.3">
      <c r="A290">
        <v>1132</v>
      </c>
      <c r="B290">
        <v>2022</v>
      </c>
      <c r="C290">
        <v>3004</v>
      </c>
      <c r="D290" t="str">
        <f>VLOOKUP('Sales table'!$A:$A,Customers!$A:$H,2,FALSE)</f>
        <v>Victor Rojas</v>
      </c>
      <c r="E290">
        <f>VLOOKUP('Sales table'!$A:$A,Customers!$A:$H,4,FALSE)</f>
        <v>32</v>
      </c>
      <c r="F290" t="str">
        <f>VLOOKUP('Sales table'!$A:$A,Customers!$A:$H,5,FALSE)</f>
        <v>Bangalore</v>
      </c>
      <c r="G290" t="str">
        <f>VLOOKUP($B:$B,Products!$A:$D,2,FALSE)</f>
        <v>Home Decor Statue</v>
      </c>
      <c r="H290" t="str">
        <f>VLOOKUP($B:$B,Products!$A:$D,3,FALSE)</f>
        <v>Home Decor</v>
      </c>
      <c r="I290">
        <f>VLOOKUP($B:$B,Products!$A:$D,4,FALSE)</f>
        <v>17149</v>
      </c>
      <c r="J290" s="4">
        <f>VLOOKUP($A:$A,Sales!$B:$H,6,FALSE)</f>
        <v>45607</v>
      </c>
      <c r="K290" s="9">
        <f>VLOOKUP($A:$A,Sales!$B:$H,4,FALSE)</f>
        <v>2</v>
      </c>
      <c r="L290" s="5">
        <f t="shared" si="4"/>
        <v>34298</v>
      </c>
    </row>
    <row r="291" spans="1:12" x14ac:dyDescent="0.3">
      <c r="A291">
        <v>1008</v>
      </c>
      <c r="B291">
        <v>2003</v>
      </c>
      <c r="C291">
        <v>3018</v>
      </c>
      <c r="D291" t="str">
        <f>VLOOKUP('Sales table'!$A:$A,Customers!$A:$H,2,FALSE)</f>
        <v>Elizabeth Woods</v>
      </c>
      <c r="E291">
        <f>VLOOKUP('Sales table'!$A:$A,Customers!$A:$H,4,FALSE)</f>
        <v>61</v>
      </c>
      <c r="F291" t="str">
        <f>VLOOKUP('Sales table'!$A:$A,Customers!$A:$H,5,FALSE)</f>
        <v>Pune</v>
      </c>
      <c r="G291" t="str">
        <f>VLOOKUP($B:$B,Products!$A:$D,2,FALSE)</f>
        <v>Kurta</v>
      </c>
      <c r="H291" t="str">
        <f>VLOOKUP($B:$B,Products!$A:$D,3,FALSE)</f>
        <v>Clothing</v>
      </c>
      <c r="I291">
        <f>VLOOKUP($B:$B,Products!$A:$D,4,FALSE)</f>
        <v>13241</v>
      </c>
      <c r="J291" s="4">
        <f>VLOOKUP($A:$A,Sales!$B:$H,6,FALSE)</f>
        <v>45600</v>
      </c>
      <c r="K291" s="9">
        <f>VLOOKUP($A:$A,Sales!$B:$H,4,FALSE)</f>
        <v>2</v>
      </c>
      <c r="L291" s="5">
        <f t="shared" si="4"/>
        <v>26482</v>
      </c>
    </row>
    <row r="292" spans="1:12" x14ac:dyDescent="0.3">
      <c r="A292">
        <v>1216</v>
      </c>
      <c r="B292">
        <v>2025</v>
      </c>
      <c r="C292">
        <v>3011</v>
      </c>
      <c r="D292" t="str">
        <f>VLOOKUP('Sales table'!$A:$A,Customers!$A:$H,2,FALSE)</f>
        <v>Michelle Greer</v>
      </c>
      <c r="E292">
        <f>VLOOKUP('Sales table'!$A:$A,Customers!$A:$H,4,FALSE)</f>
        <v>41</v>
      </c>
      <c r="F292" t="str">
        <f>VLOOKUP('Sales table'!$A:$A,Customers!$A:$H,5,FALSE)</f>
        <v>Kolkata</v>
      </c>
      <c r="G292" t="str">
        <f>VLOOKUP($B:$B,Products!$A:$D,2,FALSE)</f>
        <v>Handbag</v>
      </c>
      <c r="H292" t="str">
        <f>VLOOKUP($B:$B,Products!$A:$D,3,FALSE)</f>
        <v>Accessories</v>
      </c>
      <c r="I292">
        <f>VLOOKUP($B:$B,Products!$A:$D,4,FALSE)</f>
        <v>17019</v>
      </c>
      <c r="J292" s="4">
        <f>VLOOKUP($A:$A,Sales!$B:$H,6,FALSE)</f>
        <v>45576</v>
      </c>
      <c r="K292" s="9">
        <f>VLOOKUP($A:$A,Sales!$B:$H,4,FALSE)</f>
        <v>3</v>
      </c>
      <c r="L292" s="5">
        <f t="shared" si="4"/>
        <v>51057</v>
      </c>
    </row>
    <row r="293" spans="1:12" x14ac:dyDescent="0.3">
      <c r="A293">
        <v>1285</v>
      </c>
      <c r="B293">
        <v>2014</v>
      </c>
      <c r="C293">
        <v>3009</v>
      </c>
      <c r="D293" t="str">
        <f>VLOOKUP('Sales table'!$A:$A,Customers!$A:$H,2,FALSE)</f>
        <v>Deborah Hill</v>
      </c>
      <c r="E293">
        <f>VLOOKUP('Sales table'!$A:$A,Customers!$A:$H,4,FALSE)</f>
        <v>47</v>
      </c>
      <c r="F293" t="str">
        <f>VLOOKUP('Sales table'!$A:$A,Customers!$A:$H,5,FALSE)</f>
        <v>Delhi</v>
      </c>
      <c r="G293" t="str">
        <f>VLOOKUP($B:$B,Products!$A:$D,2,FALSE)</f>
        <v>Gold Coin</v>
      </c>
      <c r="H293" t="str">
        <f>VLOOKUP($B:$B,Products!$A:$D,3,FALSE)</f>
        <v>Precious Items</v>
      </c>
      <c r="I293">
        <f>VLOOKUP($B:$B,Products!$A:$D,4,FALSE)</f>
        <v>13823</v>
      </c>
      <c r="J293" s="4">
        <f>VLOOKUP($A:$A,Sales!$B:$H,6,FALSE)</f>
        <v>45603</v>
      </c>
      <c r="K293" s="9">
        <f>VLOOKUP($A:$A,Sales!$B:$H,4,FALSE)</f>
        <v>4</v>
      </c>
      <c r="L293" s="5">
        <f t="shared" si="4"/>
        <v>55292</v>
      </c>
    </row>
    <row r="294" spans="1:12" x14ac:dyDescent="0.3">
      <c r="A294">
        <v>1228</v>
      </c>
      <c r="B294">
        <v>2009</v>
      </c>
      <c r="C294">
        <v>3004</v>
      </c>
      <c r="D294" t="str">
        <f>VLOOKUP('Sales table'!$A:$A,Customers!$A:$H,2,FALSE)</f>
        <v>Ian Kemp</v>
      </c>
      <c r="E294">
        <f>VLOOKUP('Sales table'!$A:$A,Customers!$A:$H,4,FALSE)</f>
        <v>42</v>
      </c>
      <c r="F294" t="str">
        <f>VLOOKUP('Sales table'!$A:$A,Customers!$A:$H,5,FALSE)</f>
        <v>Kolkata</v>
      </c>
      <c r="G294" t="str">
        <f>VLOOKUP($B:$B,Products!$A:$D,2,FALSE)</f>
        <v>Bluetooth Speaker</v>
      </c>
      <c r="H294" t="str">
        <f>VLOOKUP($B:$B,Products!$A:$D,3,FALSE)</f>
        <v>Electronics</v>
      </c>
      <c r="I294">
        <f>VLOOKUP($B:$B,Products!$A:$D,4,FALSE)</f>
        <v>11047</v>
      </c>
      <c r="J294" s="4">
        <f>VLOOKUP($A:$A,Sales!$B:$H,6,FALSE)</f>
        <v>45606</v>
      </c>
      <c r="K294" s="9">
        <f>VLOOKUP($A:$A,Sales!$B:$H,4,FALSE)</f>
        <v>4</v>
      </c>
      <c r="L294" s="5">
        <f t="shared" si="4"/>
        <v>44188</v>
      </c>
    </row>
    <row r="295" spans="1:12" x14ac:dyDescent="0.3">
      <c r="A295">
        <v>1235</v>
      </c>
      <c r="B295">
        <v>2014</v>
      </c>
      <c r="C295">
        <v>3017</v>
      </c>
      <c r="D295" t="str">
        <f>VLOOKUP('Sales table'!$A:$A,Customers!$A:$H,2,FALSE)</f>
        <v>Shawn Rodriguez</v>
      </c>
      <c r="E295">
        <f>VLOOKUP('Sales table'!$A:$A,Customers!$A:$H,4,FALSE)</f>
        <v>36</v>
      </c>
      <c r="F295" t="str">
        <f>VLOOKUP('Sales table'!$A:$A,Customers!$A:$H,5,FALSE)</f>
        <v>Delhi</v>
      </c>
      <c r="G295" t="str">
        <f>VLOOKUP($B:$B,Products!$A:$D,2,FALSE)</f>
        <v>Gold Coin</v>
      </c>
      <c r="H295" t="str">
        <f>VLOOKUP($B:$B,Products!$A:$D,3,FALSE)</f>
        <v>Precious Items</v>
      </c>
      <c r="I295">
        <f>VLOOKUP($B:$B,Products!$A:$D,4,FALSE)</f>
        <v>13823</v>
      </c>
      <c r="J295" s="4">
        <f>VLOOKUP($A:$A,Sales!$B:$H,6,FALSE)</f>
        <v>45587</v>
      </c>
      <c r="K295" s="9">
        <f>VLOOKUP($A:$A,Sales!$B:$H,4,FALSE)</f>
        <v>2</v>
      </c>
      <c r="L295" s="5">
        <f t="shared" si="4"/>
        <v>27646</v>
      </c>
    </row>
    <row r="296" spans="1:12" x14ac:dyDescent="0.3">
      <c r="A296">
        <v>1140</v>
      </c>
      <c r="B296">
        <v>2021</v>
      </c>
      <c r="C296">
        <v>3009</v>
      </c>
      <c r="D296" t="str">
        <f>VLOOKUP('Sales table'!$A:$A,Customers!$A:$H,2,FALSE)</f>
        <v>Alex Brown</v>
      </c>
      <c r="E296">
        <f>VLOOKUP('Sales table'!$A:$A,Customers!$A:$H,4,FALSE)</f>
        <v>27</v>
      </c>
      <c r="F296" t="str">
        <f>VLOOKUP('Sales table'!$A:$A,Customers!$A:$H,5,FALSE)</f>
        <v>Mumbai</v>
      </c>
      <c r="G296" t="str">
        <f>VLOOKUP($B:$B,Products!$A:$D,2,FALSE)</f>
        <v>Smartwatch</v>
      </c>
      <c r="H296" t="str">
        <f>VLOOKUP($B:$B,Products!$A:$D,3,FALSE)</f>
        <v>Electronics</v>
      </c>
      <c r="I296">
        <f>VLOOKUP($B:$B,Products!$A:$D,4,FALSE)</f>
        <v>17586</v>
      </c>
      <c r="J296" s="4">
        <f>VLOOKUP($A:$A,Sales!$B:$H,6,FALSE)</f>
        <v>45601</v>
      </c>
      <c r="K296" s="9">
        <f>VLOOKUP($A:$A,Sales!$B:$H,4,FALSE)</f>
        <v>2</v>
      </c>
      <c r="L296" s="5">
        <f t="shared" si="4"/>
        <v>35172</v>
      </c>
    </row>
    <row r="297" spans="1:12" x14ac:dyDescent="0.3">
      <c r="A297">
        <v>1236</v>
      </c>
      <c r="B297">
        <v>2017</v>
      </c>
      <c r="C297">
        <v>3023</v>
      </c>
      <c r="D297" t="str">
        <f>VLOOKUP('Sales table'!$A:$A,Customers!$A:$H,2,FALSE)</f>
        <v>Kimberly Clay</v>
      </c>
      <c r="E297">
        <f>VLOOKUP('Sales table'!$A:$A,Customers!$A:$H,4,FALSE)</f>
        <v>60</v>
      </c>
      <c r="F297" t="str">
        <f>VLOOKUP('Sales table'!$A:$A,Customers!$A:$H,5,FALSE)</f>
        <v>Delhi</v>
      </c>
      <c r="G297" t="str">
        <f>VLOOKUP($B:$B,Products!$A:$D,2,FALSE)</f>
        <v>Handmade Pottery</v>
      </c>
      <c r="H297" t="str">
        <f>VLOOKUP($B:$B,Products!$A:$D,3,FALSE)</f>
        <v>Home Decor</v>
      </c>
      <c r="I297">
        <f>VLOOKUP($B:$B,Products!$A:$D,4,FALSE)</f>
        <v>8186</v>
      </c>
      <c r="J297" s="4">
        <f>VLOOKUP($A:$A,Sales!$B:$H,6,FALSE)</f>
        <v>45598</v>
      </c>
      <c r="K297" s="9">
        <f>VLOOKUP($A:$A,Sales!$B:$H,4,FALSE)</f>
        <v>3</v>
      </c>
      <c r="L297" s="5">
        <f t="shared" si="4"/>
        <v>24558</v>
      </c>
    </row>
    <row r="298" spans="1:12" x14ac:dyDescent="0.3">
      <c r="A298">
        <v>1132</v>
      </c>
      <c r="B298">
        <v>2002</v>
      </c>
      <c r="C298">
        <v>3017</v>
      </c>
      <c r="D298" t="str">
        <f>VLOOKUP('Sales table'!$A:$A,Customers!$A:$H,2,FALSE)</f>
        <v>Victor Rojas</v>
      </c>
      <c r="E298">
        <f>VLOOKUP('Sales table'!$A:$A,Customers!$A:$H,4,FALSE)</f>
        <v>32</v>
      </c>
      <c r="F298" t="str">
        <f>VLOOKUP('Sales table'!$A:$A,Customers!$A:$H,5,FALSE)</f>
        <v>Bangalore</v>
      </c>
      <c r="G298" t="str">
        <f>VLOOKUP($B:$B,Products!$A:$D,2,FALSE)</f>
        <v>Saree</v>
      </c>
      <c r="H298" t="str">
        <f>VLOOKUP($B:$B,Products!$A:$D,3,FALSE)</f>
        <v>Clothing</v>
      </c>
      <c r="I298">
        <f>VLOOKUP($B:$B,Products!$A:$D,4,FALSE)</f>
        <v>9534</v>
      </c>
      <c r="J298" s="4">
        <f>VLOOKUP($A:$A,Sales!$B:$H,6,FALSE)</f>
        <v>45607</v>
      </c>
      <c r="K298" s="9">
        <f>VLOOKUP($A:$A,Sales!$B:$H,4,FALSE)</f>
        <v>2</v>
      </c>
      <c r="L298" s="5">
        <f t="shared" si="4"/>
        <v>19068</v>
      </c>
    </row>
    <row r="299" spans="1:12" x14ac:dyDescent="0.3">
      <c r="A299">
        <v>1097</v>
      </c>
      <c r="B299">
        <v>2020</v>
      </c>
      <c r="C299">
        <v>3015</v>
      </c>
      <c r="D299" t="str">
        <f>VLOOKUP('Sales table'!$A:$A,Customers!$A:$H,2,FALSE)</f>
        <v>Michelle Lowe</v>
      </c>
      <c r="E299">
        <f>VLOOKUP('Sales table'!$A:$A,Customers!$A:$H,4,FALSE)</f>
        <v>35</v>
      </c>
      <c r="F299" t="str">
        <f>VLOOKUP('Sales table'!$A:$A,Customers!$A:$H,5,FALSE)</f>
        <v>Bangalore</v>
      </c>
      <c r="G299" t="str">
        <f>VLOOKUP($B:$B,Products!$A:$D,2,FALSE)</f>
        <v>Ethnic Jewelry</v>
      </c>
      <c r="H299" t="str">
        <f>VLOOKUP($B:$B,Products!$A:$D,3,FALSE)</f>
        <v>Precious Items</v>
      </c>
      <c r="I299">
        <f>VLOOKUP($B:$B,Products!$A:$D,4,FALSE)</f>
        <v>4495</v>
      </c>
      <c r="J299" s="4">
        <f>VLOOKUP($A:$A,Sales!$B:$H,6,FALSE)</f>
        <v>45608</v>
      </c>
      <c r="K299" s="9">
        <f>VLOOKUP($A:$A,Sales!$B:$H,4,FALSE)</f>
        <v>4</v>
      </c>
      <c r="L299" s="5">
        <f t="shared" si="4"/>
        <v>17980</v>
      </c>
    </row>
    <row r="300" spans="1:12" x14ac:dyDescent="0.3">
      <c r="A300">
        <v>1063</v>
      </c>
      <c r="B300">
        <v>2014</v>
      </c>
      <c r="C300">
        <v>3030</v>
      </c>
      <c r="D300" t="str">
        <f>VLOOKUP('Sales table'!$A:$A,Customers!$A:$H,2,FALSE)</f>
        <v>Michael Williams</v>
      </c>
      <c r="E300">
        <f>VLOOKUP('Sales table'!$A:$A,Customers!$A:$H,4,FALSE)</f>
        <v>60</v>
      </c>
      <c r="F300" t="str">
        <f>VLOOKUP('Sales table'!$A:$A,Customers!$A:$H,5,FALSE)</f>
        <v>Mumbai</v>
      </c>
      <c r="G300" t="str">
        <f>VLOOKUP($B:$B,Products!$A:$D,2,FALSE)</f>
        <v>Gold Coin</v>
      </c>
      <c r="H300" t="str">
        <f>VLOOKUP($B:$B,Products!$A:$D,3,FALSE)</f>
        <v>Precious Items</v>
      </c>
      <c r="I300">
        <f>VLOOKUP($B:$B,Products!$A:$D,4,FALSE)</f>
        <v>13823</v>
      </c>
      <c r="J300" s="4">
        <f>VLOOKUP($A:$A,Sales!$B:$H,6,FALSE)</f>
        <v>45579</v>
      </c>
      <c r="K300" s="9">
        <f>VLOOKUP($A:$A,Sales!$B:$H,4,FALSE)</f>
        <v>5</v>
      </c>
      <c r="L300" s="5">
        <f t="shared" si="4"/>
        <v>69115</v>
      </c>
    </row>
    <row r="301" spans="1:12" x14ac:dyDescent="0.3">
      <c r="A301">
        <v>1284</v>
      </c>
      <c r="B301">
        <v>2007</v>
      </c>
      <c r="C301">
        <v>3032</v>
      </c>
      <c r="D301" t="str">
        <f>VLOOKUP('Sales table'!$A:$A,Customers!$A:$H,2,FALSE)</f>
        <v>Mary Glover</v>
      </c>
      <c r="E301">
        <f>VLOOKUP('Sales table'!$A:$A,Customers!$A:$H,4,FALSE)</f>
        <v>22</v>
      </c>
      <c r="F301" t="str">
        <f>VLOOKUP('Sales table'!$A:$A,Customers!$A:$H,5,FALSE)</f>
        <v>Pune</v>
      </c>
      <c r="G301" t="str">
        <f>VLOOKUP($B:$B,Products!$A:$D,2,FALSE)</f>
        <v>Gift Hamper</v>
      </c>
      <c r="H301" t="str">
        <f>VLOOKUP($B:$B,Products!$A:$D,3,FALSE)</f>
        <v>Sweets &amp; Gifts</v>
      </c>
      <c r="I301">
        <f>VLOOKUP($B:$B,Products!$A:$D,4,FALSE)</f>
        <v>3412</v>
      </c>
      <c r="J301" s="4">
        <f>VLOOKUP($A:$A,Sales!$B:$H,6,FALSE)</f>
        <v>45586</v>
      </c>
      <c r="K301" s="9">
        <f>VLOOKUP($A:$A,Sales!$B:$H,4,FALSE)</f>
        <v>2</v>
      </c>
      <c r="L301" s="5">
        <f t="shared" si="4"/>
        <v>6824</v>
      </c>
    </row>
    <row r="302" spans="1:12" x14ac:dyDescent="0.3">
      <c r="A302">
        <v>1146</v>
      </c>
      <c r="B302">
        <v>2024</v>
      </c>
      <c r="C302">
        <v>3014</v>
      </c>
      <c r="D302" t="str">
        <f>VLOOKUP('Sales table'!$A:$A,Customers!$A:$H,2,FALSE)</f>
        <v>Angela Martin</v>
      </c>
      <c r="E302">
        <f>VLOOKUP('Sales table'!$A:$A,Customers!$A:$H,4,FALSE)</f>
        <v>61</v>
      </c>
      <c r="F302" t="str">
        <f>VLOOKUP('Sales table'!$A:$A,Customers!$A:$H,5,FALSE)</f>
        <v>Bangalore</v>
      </c>
      <c r="G302" t="str">
        <f>VLOOKUP($B:$B,Products!$A:$D,2,FALSE)</f>
        <v>Perfume Gift Set</v>
      </c>
      <c r="H302" t="str">
        <f>VLOOKUP($B:$B,Products!$A:$D,3,FALSE)</f>
        <v>Accessories</v>
      </c>
      <c r="I302">
        <f>VLOOKUP($B:$B,Products!$A:$D,4,FALSE)</f>
        <v>16272</v>
      </c>
      <c r="J302" s="4">
        <f>VLOOKUP($A:$A,Sales!$B:$H,6,FALSE)</f>
        <v>45608</v>
      </c>
      <c r="K302" s="9">
        <f>VLOOKUP($A:$A,Sales!$B:$H,4,FALSE)</f>
        <v>1</v>
      </c>
      <c r="L302" s="5">
        <f t="shared" si="4"/>
        <v>16272</v>
      </c>
    </row>
    <row r="303" spans="1:12" x14ac:dyDescent="0.3">
      <c r="A303">
        <v>1126</v>
      </c>
      <c r="B303">
        <v>2022</v>
      </c>
      <c r="C303">
        <v>3027</v>
      </c>
      <c r="D303" t="str">
        <f>VLOOKUP('Sales table'!$A:$A,Customers!$A:$H,2,FALSE)</f>
        <v>Michael Dawson</v>
      </c>
      <c r="E303">
        <f>VLOOKUP('Sales table'!$A:$A,Customers!$A:$H,4,FALSE)</f>
        <v>63</v>
      </c>
      <c r="F303" t="str">
        <f>VLOOKUP('Sales table'!$A:$A,Customers!$A:$H,5,FALSE)</f>
        <v>Chennai</v>
      </c>
      <c r="G303" t="str">
        <f>VLOOKUP($B:$B,Products!$A:$D,2,FALSE)</f>
        <v>Home Decor Statue</v>
      </c>
      <c r="H303" t="str">
        <f>VLOOKUP($B:$B,Products!$A:$D,3,FALSE)</f>
        <v>Home Decor</v>
      </c>
      <c r="I303">
        <f>VLOOKUP($B:$B,Products!$A:$D,4,FALSE)</f>
        <v>17149</v>
      </c>
      <c r="J303" s="4">
        <f>VLOOKUP($A:$A,Sales!$B:$H,6,FALSE)</f>
        <v>45595</v>
      </c>
      <c r="K303" s="9">
        <f>VLOOKUP($A:$A,Sales!$B:$H,4,FALSE)</f>
        <v>5</v>
      </c>
      <c r="L303" s="5">
        <f t="shared" si="4"/>
        <v>85745</v>
      </c>
    </row>
    <row r="304" spans="1:12" x14ac:dyDescent="0.3">
      <c r="A304">
        <v>1211</v>
      </c>
      <c r="B304">
        <v>2022</v>
      </c>
      <c r="C304">
        <v>3003</v>
      </c>
      <c r="D304" t="str">
        <f>VLOOKUP('Sales table'!$A:$A,Customers!$A:$H,2,FALSE)</f>
        <v>Deanna Barnes</v>
      </c>
      <c r="E304">
        <f>VLOOKUP('Sales table'!$A:$A,Customers!$A:$H,4,FALSE)</f>
        <v>47</v>
      </c>
      <c r="F304" t="str">
        <f>VLOOKUP('Sales table'!$A:$A,Customers!$A:$H,5,FALSE)</f>
        <v>Hyderabad</v>
      </c>
      <c r="G304" t="str">
        <f>VLOOKUP($B:$B,Products!$A:$D,2,FALSE)</f>
        <v>Home Decor Statue</v>
      </c>
      <c r="H304" t="str">
        <f>VLOOKUP($B:$B,Products!$A:$D,3,FALSE)</f>
        <v>Home Decor</v>
      </c>
      <c r="I304">
        <f>VLOOKUP($B:$B,Products!$A:$D,4,FALSE)</f>
        <v>17149</v>
      </c>
      <c r="J304" s="4">
        <f>VLOOKUP($A:$A,Sales!$B:$H,6,FALSE)</f>
        <v>45592</v>
      </c>
      <c r="K304" s="9">
        <f>VLOOKUP($A:$A,Sales!$B:$H,4,FALSE)</f>
        <v>1</v>
      </c>
      <c r="L304" s="5">
        <f t="shared" si="4"/>
        <v>17149</v>
      </c>
    </row>
    <row r="305" spans="1:12" x14ac:dyDescent="0.3">
      <c r="A305">
        <v>1173</v>
      </c>
      <c r="B305">
        <v>2019</v>
      </c>
      <c r="C305">
        <v>3023</v>
      </c>
      <c r="D305" t="str">
        <f>VLOOKUP('Sales table'!$A:$A,Customers!$A:$H,2,FALSE)</f>
        <v>Emily Martin</v>
      </c>
      <c r="E305">
        <f>VLOOKUP('Sales table'!$A:$A,Customers!$A:$H,4,FALSE)</f>
        <v>51</v>
      </c>
      <c r="F305" t="str">
        <f>VLOOKUP('Sales table'!$A:$A,Customers!$A:$H,5,FALSE)</f>
        <v>Chennai</v>
      </c>
      <c r="G305" t="str">
        <f>VLOOKUP($B:$B,Products!$A:$D,2,FALSE)</f>
        <v>Designer Kurti</v>
      </c>
      <c r="H305" t="str">
        <f>VLOOKUP($B:$B,Products!$A:$D,3,FALSE)</f>
        <v>Clothing</v>
      </c>
      <c r="I305">
        <f>VLOOKUP($B:$B,Products!$A:$D,4,FALSE)</f>
        <v>13620</v>
      </c>
      <c r="J305" s="4">
        <f>VLOOKUP($A:$A,Sales!$B:$H,6,FALSE)</f>
        <v>45604</v>
      </c>
      <c r="K305" s="9">
        <f>VLOOKUP($A:$A,Sales!$B:$H,4,FALSE)</f>
        <v>4</v>
      </c>
      <c r="L305" s="5">
        <f t="shared" si="4"/>
        <v>54480</v>
      </c>
    </row>
    <row r="306" spans="1:12" x14ac:dyDescent="0.3">
      <c r="A306">
        <v>1238</v>
      </c>
      <c r="B306">
        <v>2020</v>
      </c>
      <c r="C306">
        <v>3019</v>
      </c>
      <c r="D306" t="str">
        <f>VLOOKUP('Sales table'!$A:$A,Customers!$A:$H,2,FALSE)</f>
        <v>Steven Hogan</v>
      </c>
      <c r="E306">
        <f>VLOOKUP('Sales table'!$A:$A,Customers!$A:$H,4,FALSE)</f>
        <v>46</v>
      </c>
      <c r="F306" t="str">
        <f>VLOOKUP('Sales table'!$A:$A,Customers!$A:$H,5,FALSE)</f>
        <v>Chennai</v>
      </c>
      <c r="G306" t="str">
        <f>VLOOKUP($B:$B,Products!$A:$D,2,FALSE)</f>
        <v>Ethnic Jewelry</v>
      </c>
      <c r="H306" t="str">
        <f>VLOOKUP($B:$B,Products!$A:$D,3,FALSE)</f>
        <v>Precious Items</v>
      </c>
      <c r="I306">
        <f>VLOOKUP($B:$B,Products!$A:$D,4,FALSE)</f>
        <v>4495</v>
      </c>
      <c r="J306" s="4">
        <f>VLOOKUP($A:$A,Sales!$B:$H,6,FALSE)</f>
        <v>45602</v>
      </c>
      <c r="K306" s="9">
        <f>VLOOKUP($A:$A,Sales!$B:$H,4,FALSE)</f>
        <v>3</v>
      </c>
      <c r="L306" s="5">
        <f t="shared" si="4"/>
        <v>13485</v>
      </c>
    </row>
    <row r="307" spans="1:12" x14ac:dyDescent="0.3">
      <c r="A307">
        <v>1092</v>
      </c>
      <c r="B307">
        <v>2023</v>
      </c>
      <c r="C307">
        <v>3023</v>
      </c>
      <c r="D307" t="str">
        <f>VLOOKUP('Sales table'!$A:$A,Customers!$A:$H,2,FALSE)</f>
        <v>Joseph Thomas</v>
      </c>
      <c r="E307">
        <f>VLOOKUP('Sales table'!$A:$A,Customers!$A:$H,4,FALSE)</f>
        <v>23</v>
      </c>
      <c r="F307" t="str">
        <f>VLOOKUP('Sales table'!$A:$A,Customers!$A:$H,5,FALSE)</f>
        <v>Hyderabad</v>
      </c>
      <c r="G307" t="str">
        <f>VLOOKUP($B:$B,Products!$A:$D,2,FALSE)</f>
        <v>Kids Wear</v>
      </c>
      <c r="H307" t="str">
        <f>VLOOKUP($B:$B,Products!$A:$D,3,FALSE)</f>
        <v>Clothing</v>
      </c>
      <c r="I307">
        <f>VLOOKUP($B:$B,Products!$A:$D,4,FALSE)</f>
        <v>4794</v>
      </c>
      <c r="J307" s="4">
        <f>VLOOKUP($A:$A,Sales!$B:$H,6,FALSE)</f>
        <v>45611</v>
      </c>
      <c r="K307" s="9">
        <f>VLOOKUP($A:$A,Sales!$B:$H,4,FALSE)</f>
        <v>5</v>
      </c>
      <c r="L307" s="5">
        <f t="shared" si="4"/>
        <v>23970</v>
      </c>
    </row>
    <row r="308" spans="1:12" x14ac:dyDescent="0.3">
      <c r="A308">
        <v>1195</v>
      </c>
      <c r="B308">
        <v>2019</v>
      </c>
      <c r="C308">
        <v>3001</v>
      </c>
      <c r="D308" t="str">
        <f>VLOOKUP('Sales table'!$A:$A,Customers!$A:$H,2,FALSE)</f>
        <v>Brianna Robertson</v>
      </c>
      <c r="E308">
        <f>VLOOKUP('Sales table'!$A:$A,Customers!$A:$H,4,FALSE)</f>
        <v>50</v>
      </c>
      <c r="F308" t="str">
        <f>VLOOKUP('Sales table'!$A:$A,Customers!$A:$H,5,FALSE)</f>
        <v>Kolkata</v>
      </c>
      <c r="G308" t="str">
        <f>VLOOKUP($B:$B,Products!$A:$D,2,FALSE)</f>
        <v>Designer Kurti</v>
      </c>
      <c r="H308" t="str">
        <f>VLOOKUP($B:$B,Products!$A:$D,3,FALSE)</f>
        <v>Clothing</v>
      </c>
      <c r="I308">
        <f>VLOOKUP($B:$B,Products!$A:$D,4,FALSE)</f>
        <v>13620</v>
      </c>
      <c r="J308" s="4">
        <f>VLOOKUP($A:$A,Sales!$B:$H,6,FALSE)</f>
        <v>45580</v>
      </c>
      <c r="K308" s="9">
        <f>VLOOKUP($A:$A,Sales!$B:$H,4,FALSE)</f>
        <v>4</v>
      </c>
      <c r="L308" s="5">
        <f t="shared" si="4"/>
        <v>54480</v>
      </c>
    </row>
    <row r="309" spans="1:12" x14ac:dyDescent="0.3">
      <c r="A309">
        <v>1242</v>
      </c>
      <c r="B309">
        <v>2023</v>
      </c>
      <c r="C309">
        <v>3004</v>
      </c>
      <c r="D309" t="str">
        <f>VLOOKUP('Sales table'!$A:$A,Customers!$A:$H,2,FALSE)</f>
        <v>Julie Gonzalez</v>
      </c>
      <c r="E309">
        <f>VLOOKUP('Sales table'!$A:$A,Customers!$A:$H,4,FALSE)</f>
        <v>23</v>
      </c>
      <c r="F309" t="str">
        <f>VLOOKUP('Sales table'!$A:$A,Customers!$A:$H,5,FALSE)</f>
        <v>Mumbai</v>
      </c>
      <c r="G309" t="str">
        <f>VLOOKUP($B:$B,Products!$A:$D,2,FALSE)</f>
        <v>Kids Wear</v>
      </c>
      <c r="H309" t="str">
        <f>VLOOKUP($B:$B,Products!$A:$D,3,FALSE)</f>
        <v>Clothing</v>
      </c>
      <c r="I309">
        <f>VLOOKUP($B:$B,Products!$A:$D,4,FALSE)</f>
        <v>4794</v>
      </c>
      <c r="J309" s="4">
        <f>VLOOKUP($A:$A,Sales!$B:$H,6,FALSE)</f>
        <v>45577</v>
      </c>
      <c r="K309" s="9">
        <f>VLOOKUP($A:$A,Sales!$B:$H,4,FALSE)</f>
        <v>5</v>
      </c>
      <c r="L309" s="5">
        <f t="shared" si="4"/>
        <v>23970</v>
      </c>
    </row>
    <row r="310" spans="1:12" x14ac:dyDescent="0.3">
      <c r="A310">
        <v>1271</v>
      </c>
      <c r="B310">
        <v>2003</v>
      </c>
      <c r="C310">
        <v>3010</v>
      </c>
      <c r="D310" t="str">
        <f>VLOOKUP('Sales table'!$A:$A,Customers!$A:$H,2,FALSE)</f>
        <v>Alicia Bailey</v>
      </c>
      <c r="E310">
        <f>VLOOKUP('Sales table'!$A:$A,Customers!$A:$H,4,FALSE)</f>
        <v>41</v>
      </c>
      <c r="F310" t="str">
        <f>VLOOKUP('Sales table'!$A:$A,Customers!$A:$H,5,FALSE)</f>
        <v>Bangalore</v>
      </c>
      <c r="G310" t="str">
        <f>VLOOKUP($B:$B,Products!$A:$D,2,FALSE)</f>
        <v>Kurta</v>
      </c>
      <c r="H310" t="str">
        <f>VLOOKUP($B:$B,Products!$A:$D,3,FALSE)</f>
        <v>Clothing</v>
      </c>
      <c r="I310">
        <f>VLOOKUP($B:$B,Products!$A:$D,4,FALSE)</f>
        <v>13241</v>
      </c>
      <c r="J310" s="4">
        <f>VLOOKUP($A:$A,Sales!$B:$H,6,FALSE)</f>
        <v>45605</v>
      </c>
      <c r="K310" s="9">
        <f>VLOOKUP($A:$A,Sales!$B:$H,4,FALSE)</f>
        <v>2</v>
      </c>
      <c r="L310" s="5">
        <f t="shared" si="4"/>
        <v>26482</v>
      </c>
    </row>
    <row r="311" spans="1:12" x14ac:dyDescent="0.3">
      <c r="A311">
        <v>1148</v>
      </c>
      <c r="B311">
        <v>2008</v>
      </c>
      <c r="C311">
        <v>3029</v>
      </c>
      <c r="D311" t="str">
        <f>VLOOKUP('Sales table'!$A:$A,Customers!$A:$H,2,FALSE)</f>
        <v>Kathryn Le</v>
      </c>
      <c r="E311">
        <f>VLOOKUP('Sales table'!$A:$A,Customers!$A:$H,4,FALSE)</f>
        <v>41</v>
      </c>
      <c r="F311" t="str">
        <f>VLOOKUP('Sales table'!$A:$A,Customers!$A:$H,5,FALSE)</f>
        <v>Pune</v>
      </c>
      <c r="G311" t="str">
        <f>VLOOKUP($B:$B,Products!$A:$D,2,FALSE)</f>
        <v>Earthen Diyas</v>
      </c>
      <c r="H311" t="str">
        <f>VLOOKUP($B:$B,Products!$A:$D,3,FALSE)</f>
        <v>Home Decor</v>
      </c>
      <c r="I311">
        <f>VLOOKUP($B:$B,Products!$A:$D,4,FALSE)</f>
        <v>2136</v>
      </c>
      <c r="J311" s="4">
        <f>VLOOKUP($A:$A,Sales!$B:$H,6,FALSE)</f>
        <v>45589</v>
      </c>
      <c r="K311" s="9">
        <f>VLOOKUP($A:$A,Sales!$B:$H,4,FALSE)</f>
        <v>2</v>
      </c>
      <c r="L311" s="5">
        <f t="shared" si="4"/>
        <v>4272</v>
      </c>
    </row>
    <row r="312" spans="1:12" x14ac:dyDescent="0.3">
      <c r="A312">
        <v>1289</v>
      </c>
      <c r="B312">
        <v>2021</v>
      </c>
      <c r="C312">
        <v>3014</v>
      </c>
      <c r="D312" t="str">
        <f>VLOOKUP('Sales table'!$A:$A,Customers!$A:$H,2,FALSE)</f>
        <v>Jose Beck</v>
      </c>
      <c r="E312">
        <f>VLOOKUP('Sales table'!$A:$A,Customers!$A:$H,4,FALSE)</f>
        <v>22</v>
      </c>
      <c r="F312" t="str">
        <f>VLOOKUP('Sales table'!$A:$A,Customers!$A:$H,5,FALSE)</f>
        <v>Delhi</v>
      </c>
      <c r="G312" t="str">
        <f>VLOOKUP($B:$B,Products!$A:$D,2,FALSE)</f>
        <v>Smartwatch</v>
      </c>
      <c r="H312" t="str">
        <f>VLOOKUP($B:$B,Products!$A:$D,3,FALSE)</f>
        <v>Electronics</v>
      </c>
      <c r="I312">
        <f>VLOOKUP($B:$B,Products!$A:$D,4,FALSE)</f>
        <v>17586</v>
      </c>
      <c r="J312" s="4">
        <f>VLOOKUP($A:$A,Sales!$B:$H,6,FALSE)</f>
        <v>45610</v>
      </c>
      <c r="K312" s="9">
        <f>VLOOKUP($A:$A,Sales!$B:$H,4,FALSE)</f>
        <v>2</v>
      </c>
      <c r="L312" s="5">
        <f t="shared" si="4"/>
        <v>35172</v>
      </c>
    </row>
    <row r="313" spans="1:12" x14ac:dyDescent="0.3">
      <c r="A313">
        <v>1161</v>
      </c>
      <c r="B313">
        <v>2010</v>
      </c>
      <c r="C313">
        <v>3031</v>
      </c>
      <c r="D313" t="str">
        <f>VLOOKUP('Sales table'!$A:$A,Customers!$A:$H,2,FALSE)</f>
        <v>Christian Aguilar</v>
      </c>
      <c r="E313">
        <f>VLOOKUP('Sales table'!$A:$A,Customers!$A:$H,4,FALSE)</f>
        <v>32</v>
      </c>
      <c r="F313" t="str">
        <f>VLOOKUP('Sales table'!$A:$A,Customers!$A:$H,5,FALSE)</f>
        <v>Delhi</v>
      </c>
      <c r="G313" t="str">
        <f>VLOOKUP($B:$B,Products!$A:$D,2,FALSE)</f>
        <v>Chocolate Box</v>
      </c>
      <c r="H313" t="str">
        <f>VLOOKUP($B:$B,Products!$A:$D,3,FALSE)</f>
        <v>Sweets &amp; Gifts</v>
      </c>
      <c r="I313">
        <f>VLOOKUP($B:$B,Products!$A:$D,4,FALSE)</f>
        <v>17909</v>
      </c>
      <c r="J313" s="4">
        <f>VLOOKUP($A:$A,Sales!$B:$H,6,FALSE)</f>
        <v>45587</v>
      </c>
      <c r="K313" s="9">
        <f>VLOOKUP($A:$A,Sales!$B:$H,4,FALSE)</f>
        <v>4</v>
      </c>
      <c r="L313" s="5">
        <f t="shared" si="4"/>
        <v>71636</v>
      </c>
    </row>
    <row r="314" spans="1:12" x14ac:dyDescent="0.3">
      <c r="A314">
        <v>1266</v>
      </c>
      <c r="B314">
        <v>2025</v>
      </c>
      <c r="C314">
        <v>3002</v>
      </c>
      <c r="D314" t="str">
        <f>VLOOKUP('Sales table'!$A:$A,Customers!$A:$H,2,FALSE)</f>
        <v>Kim Mckinney</v>
      </c>
      <c r="E314">
        <f>VLOOKUP('Sales table'!$A:$A,Customers!$A:$H,4,FALSE)</f>
        <v>48</v>
      </c>
      <c r="F314" t="str">
        <f>VLOOKUP('Sales table'!$A:$A,Customers!$A:$H,5,FALSE)</f>
        <v>Delhi</v>
      </c>
      <c r="G314" t="str">
        <f>VLOOKUP($B:$B,Products!$A:$D,2,FALSE)</f>
        <v>Handbag</v>
      </c>
      <c r="H314" t="str">
        <f>VLOOKUP($B:$B,Products!$A:$D,3,FALSE)</f>
        <v>Accessories</v>
      </c>
      <c r="I314">
        <f>VLOOKUP($B:$B,Products!$A:$D,4,FALSE)</f>
        <v>17019</v>
      </c>
      <c r="J314" s="4">
        <f>VLOOKUP($A:$A,Sales!$B:$H,6,FALSE)</f>
        <v>45604</v>
      </c>
      <c r="K314" s="9">
        <f>VLOOKUP($A:$A,Sales!$B:$H,4,FALSE)</f>
        <v>5</v>
      </c>
      <c r="L314" s="5">
        <f t="shared" si="4"/>
        <v>85095</v>
      </c>
    </row>
    <row r="315" spans="1:12" x14ac:dyDescent="0.3">
      <c r="A315">
        <v>1239</v>
      </c>
      <c r="B315">
        <v>2001</v>
      </c>
      <c r="C315">
        <v>3011</v>
      </c>
      <c r="D315" t="str">
        <f>VLOOKUP('Sales table'!$A:$A,Customers!$A:$H,2,FALSE)</f>
        <v>Robert Burton</v>
      </c>
      <c r="E315">
        <f>VLOOKUP('Sales table'!$A:$A,Customers!$A:$H,4,FALSE)</f>
        <v>32</v>
      </c>
      <c r="F315" t="str">
        <f>VLOOKUP('Sales table'!$A:$A,Customers!$A:$H,5,FALSE)</f>
        <v>Chennai</v>
      </c>
      <c r="G315" t="str">
        <f>VLOOKUP($B:$B,Products!$A:$D,2,FALSE)</f>
        <v>Sweets Box</v>
      </c>
      <c r="H315" t="str">
        <f>VLOOKUP($B:$B,Products!$A:$D,3,FALSE)</f>
        <v>Sweets &amp; Gifts</v>
      </c>
      <c r="I315">
        <f>VLOOKUP($B:$B,Products!$A:$D,4,FALSE)</f>
        <v>7228</v>
      </c>
      <c r="J315" s="4">
        <f>VLOOKUP($A:$A,Sales!$B:$H,6,FALSE)</f>
        <v>45576</v>
      </c>
      <c r="K315" s="9">
        <f>VLOOKUP($A:$A,Sales!$B:$H,4,FALSE)</f>
        <v>5</v>
      </c>
      <c r="L315" s="5">
        <f t="shared" si="4"/>
        <v>36140</v>
      </c>
    </row>
    <row r="316" spans="1:12" x14ac:dyDescent="0.3">
      <c r="A316">
        <v>1017</v>
      </c>
      <c r="B316">
        <v>2001</v>
      </c>
      <c r="C316">
        <v>3003</v>
      </c>
      <c r="D316" t="str">
        <f>VLOOKUP('Sales table'!$A:$A,Customers!$A:$H,2,FALSE)</f>
        <v>Sandra Hamilton</v>
      </c>
      <c r="E316">
        <f>VLOOKUP('Sales table'!$A:$A,Customers!$A:$H,4,FALSE)</f>
        <v>39</v>
      </c>
      <c r="F316" t="str">
        <f>VLOOKUP('Sales table'!$A:$A,Customers!$A:$H,5,FALSE)</f>
        <v>Kolkata</v>
      </c>
      <c r="G316" t="str">
        <f>VLOOKUP($B:$B,Products!$A:$D,2,FALSE)</f>
        <v>Sweets Box</v>
      </c>
      <c r="H316" t="str">
        <f>VLOOKUP($B:$B,Products!$A:$D,3,FALSE)</f>
        <v>Sweets &amp; Gifts</v>
      </c>
      <c r="I316">
        <f>VLOOKUP($B:$B,Products!$A:$D,4,FALSE)</f>
        <v>7228</v>
      </c>
      <c r="J316" s="4">
        <f>VLOOKUP($A:$A,Sales!$B:$H,6,FALSE)</f>
        <v>45603</v>
      </c>
      <c r="K316" s="9">
        <f>VLOOKUP($A:$A,Sales!$B:$H,4,FALSE)</f>
        <v>2</v>
      </c>
      <c r="L316" s="5">
        <f t="shared" si="4"/>
        <v>14456</v>
      </c>
    </row>
    <row r="317" spans="1:12" x14ac:dyDescent="0.3">
      <c r="A317">
        <v>1272</v>
      </c>
      <c r="B317">
        <v>2011</v>
      </c>
      <c r="C317">
        <v>3009</v>
      </c>
      <c r="D317" t="str">
        <f>VLOOKUP('Sales table'!$A:$A,Customers!$A:$H,2,FALSE)</f>
        <v>John Miller</v>
      </c>
      <c r="E317">
        <f>VLOOKUP('Sales table'!$A:$A,Customers!$A:$H,4,FALSE)</f>
        <v>39</v>
      </c>
      <c r="F317" t="str">
        <f>VLOOKUP('Sales table'!$A:$A,Customers!$A:$H,5,FALSE)</f>
        <v>Kolkata</v>
      </c>
      <c r="G317" t="str">
        <f>VLOOKUP($B:$B,Products!$A:$D,2,FALSE)</f>
        <v>Festive Thali</v>
      </c>
      <c r="H317" t="str">
        <f>VLOOKUP($B:$B,Products!$A:$D,3,FALSE)</f>
        <v>Other</v>
      </c>
      <c r="I317">
        <f>VLOOKUP($B:$B,Products!$A:$D,4,FALSE)</f>
        <v>7481</v>
      </c>
      <c r="J317" s="4">
        <f>VLOOKUP($A:$A,Sales!$B:$H,6,FALSE)</f>
        <v>45610</v>
      </c>
      <c r="K317" s="9">
        <f>VLOOKUP($A:$A,Sales!$B:$H,4,FALSE)</f>
        <v>2</v>
      </c>
      <c r="L317" s="5">
        <f t="shared" si="4"/>
        <v>14962</v>
      </c>
    </row>
    <row r="318" spans="1:12" x14ac:dyDescent="0.3">
      <c r="A318">
        <v>1289</v>
      </c>
      <c r="B318">
        <v>2009</v>
      </c>
      <c r="C318">
        <v>3035</v>
      </c>
      <c r="D318" t="str">
        <f>VLOOKUP('Sales table'!$A:$A,Customers!$A:$H,2,FALSE)</f>
        <v>Jose Beck</v>
      </c>
      <c r="E318">
        <f>VLOOKUP('Sales table'!$A:$A,Customers!$A:$H,4,FALSE)</f>
        <v>22</v>
      </c>
      <c r="F318" t="str">
        <f>VLOOKUP('Sales table'!$A:$A,Customers!$A:$H,5,FALSE)</f>
        <v>Delhi</v>
      </c>
      <c r="G318" t="str">
        <f>VLOOKUP($B:$B,Products!$A:$D,2,FALSE)</f>
        <v>Bluetooth Speaker</v>
      </c>
      <c r="H318" t="str">
        <f>VLOOKUP($B:$B,Products!$A:$D,3,FALSE)</f>
        <v>Electronics</v>
      </c>
      <c r="I318">
        <f>VLOOKUP($B:$B,Products!$A:$D,4,FALSE)</f>
        <v>11047</v>
      </c>
      <c r="J318" s="4">
        <f>VLOOKUP($A:$A,Sales!$B:$H,6,FALSE)</f>
        <v>45610</v>
      </c>
      <c r="K318" s="9">
        <f>VLOOKUP($A:$A,Sales!$B:$H,4,FALSE)</f>
        <v>2</v>
      </c>
      <c r="L318" s="5">
        <f t="shared" si="4"/>
        <v>22094</v>
      </c>
    </row>
    <row r="319" spans="1:12" x14ac:dyDescent="0.3">
      <c r="A319">
        <v>1299</v>
      </c>
      <c r="B319">
        <v>2025</v>
      </c>
      <c r="C319">
        <v>3027</v>
      </c>
      <c r="D319" t="str">
        <f>VLOOKUP('Sales table'!$A:$A,Customers!$A:$H,2,FALSE)</f>
        <v>Alison Collins</v>
      </c>
      <c r="E319">
        <f>VLOOKUP('Sales table'!$A:$A,Customers!$A:$H,4,FALSE)</f>
        <v>29</v>
      </c>
      <c r="F319" t="str">
        <f>VLOOKUP('Sales table'!$A:$A,Customers!$A:$H,5,FALSE)</f>
        <v>Pune</v>
      </c>
      <c r="G319" t="str">
        <f>VLOOKUP($B:$B,Products!$A:$D,2,FALSE)</f>
        <v>Handbag</v>
      </c>
      <c r="H319" t="str">
        <f>VLOOKUP($B:$B,Products!$A:$D,3,FALSE)</f>
        <v>Accessories</v>
      </c>
      <c r="I319">
        <f>VLOOKUP($B:$B,Products!$A:$D,4,FALSE)</f>
        <v>17019</v>
      </c>
      <c r="J319" s="4">
        <f>VLOOKUP($A:$A,Sales!$B:$H,6,FALSE)</f>
        <v>45607</v>
      </c>
      <c r="K319" s="9">
        <f>VLOOKUP($A:$A,Sales!$B:$H,4,FALSE)</f>
        <v>2</v>
      </c>
      <c r="L319" s="5">
        <f t="shared" si="4"/>
        <v>34038</v>
      </c>
    </row>
    <row r="320" spans="1:12" x14ac:dyDescent="0.3">
      <c r="A320">
        <v>1078</v>
      </c>
      <c r="B320">
        <v>2019</v>
      </c>
      <c r="C320">
        <v>3034</v>
      </c>
      <c r="D320" t="str">
        <f>VLOOKUP('Sales table'!$A:$A,Customers!$A:$H,2,FALSE)</f>
        <v>Jerry Newman</v>
      </c>
      <c r="E320">
        <f>VLOOKUP('Sales table'!$A:$A,Customers!$A:$H,4,FALSE)</f>
        <v>19</v>
      </c>
      <c r="F320" t="str">
        <f>VLOOKUP('Sales table'!$A:$A,Customers!$A:$H,5,FALSE)</f>
        <v>Delhi</v>
      </c>
      <c r="G320" t="str">
        <f>VLOOKUP($B:$B,Products!$A:$D,2,FALSE)</f>
        <v>Designer Kurti</v>
      </c>
      <c r="H320" t="str">
        <f>VLOOKUP($B:$B,Products!$A:$D,3,FALSE)</f>
        <v>Clothing</v>
      </c>
      <c r="I320">
        <f>VLOOKUP($B:$B,Products!$A:$D,4,FALSE)</f>
        <v>13620</v>
      </c>
      <c r="J320" s="4">
        <f>VLOOKUP($A:$A,Sales!$B:$H,6,FALSE)</f>
        <v>45610</v>
      </c>
      <c r="K320" s="9">
        <f>VLOOKUP($A:$A,Sales!$B:$H,4,FALSE)</f>
        <v>5</v>
      </c>
      <c r="L320" s="5">
        <f t="shared" si="4"/>
        <v>68100</v>
      </c>
    </row>
    <row r="321" spans="1:12" x14ac:dyDescent="0.3">
      <c r="A321">
        <v>1244</v>
      </c>
      <c r="B321">
        <v>2005</v>
      </c>
      <c r="C321">
        <v>3032</v>
      </c>
      <c r="D321" t="str">
        <f>VLOOKUP('Sales table'!$A:$A,Customers!$A:$H,2,FALSE)</f>
        <v>Leonard Kim</v>
      </c>
      <c r="E321">
        <f>VLOOKUP('Sales table'!$A:$A,Customers!$A:$H,4,FALSE)</f>
        <v>18</v>
      </c>
      <c r="F321" t="str">
        <f>VLOOKUP('Sales table'!$A:$A,Customers!$A:$H,5,FALSE)</f>
        <v>Hyderabad</v>
      </c>
      <c r="G321" t="str">
        <f>VLOOKUP($B:$B,Products!$A:$D,2,FALSE)</f>
        <v>LED Lamp</v>
      </c>
      <c r="H321" t="str">
        <f>VLOOKUP($B:$B,Products!$A:$D,3,FALSE)</f>
        <v>Home Decor</v>
      </c>
      <c r="I321">
        <f>VLOOKUP($B:$B,Products!$A:$D,4,FALSE)</f>
        <v>3828</v>
      </c>
      <c r="J321" s="4">
        <f>VLOOKUP($A:$A,Sales!$B:$H,6,FALSE)</f>
        <v>45589</v>
      </c>
      <c r="K321" s="9">
        <f>VLOOKUP($A:$A,Sales!$B:$H,4,FALSE)</f>
        <v>1</v>
      </c>
      <c r="L321" s="5">
        <f t="shared" si="4"/>
        <v>3828</v>
      </c>
    </row>
    <row r="322" spans="1:12" x14ac:dyDescent="0.3">
      <c r="A322">
        <v>1059</v>
      </c>
      <c r="B322">
        <v>2009</v>
      </c>
      <c r="C322">
        <v>3026</v>
      </c>
      <c r="D322" t="str">
        <f>VLOOKUP('Sales table'!$A:$A,Customers!$A:$H,2,FALSE)</f>
        <v>Cynthia Johnson</v>
      </c>
      <c r="E322">
        <f>VLOOKUP('Sales table'!$A:$A,Customers!$A:$H,4,FALSE)</f>
        <v>44</v>
      </c>
      <c r="F322" t="str">
        <f>VLOOKUP('Sales table'!$A:$A,Customers!$A:$H,5,FALSE)</f>
        <v>Bangalore</v>
      </c>
      <c r="G322" t="str">
        <f>VLOOKUP($B:$B,Products!$A:$D,2,FALSE)</f>
        <v>Bluetooth Speaker</v>
      </c>
      <c r="H322" t="str">
        <f>VLOOKUP($B:$B,Products!$A:$D,3,FALSE)</f>
        <v>Electronics</v>
      </c>
      <c r="I322">
        <f>VLOOKUP($B:$B,Products!$A:$D,4,FALSE)</f>
        <v>11047</v>
      </c>
      <c r="J322" s="4">
        <f>VLOOKUP($A:$A,Sales!$B:$H,6,FALSE)</f>
        <v>45612</v>
      </c>
      <c r="K322" s="9">
        <f>VLOOKUP($A:$A,Sales!$B:$H,4,FALSE)</f>
        <v>2</v>
      </c>
      <c r="L322" s="5">
        <f t="shared" si="4"/>
        <v>22094</v>
      </c>
    </row>
    <row r="323" spans="1:12" x14ac:dyDescent="0.3">
      <c r="A323">
        <v>1237</v>
      </c>
      <c r="B323">
        <v>2015</v>
      </c>
      <c r="C323">
        <v>3012</v>
      </c>
      <c r="D323" t="str">
        <f>VLOOKUP('Sales table'!$A:$A,Customers!$A:$H,2,FALSE)</f>
        <v>Oscar Diaz</v>
      </c>
      <c r="E323">
        <f>VLOOKUP('Sales table'!$A:$A,Customers!$A:$H,4,FALSE)</f>
        <v>49</v>
      </c>
      <c r="F323" t="str">
        <f>VLOOKUP('Sales table'!$A:$A,Customers!$A:$H,5,FALSE)</f>
        <v>Kolkata</v>
      </c>
      <c r="G323" t="str">
        <f>VLOOKUP($B:$B,Products!$A:$D,2,FALSE)</f>
        <v>Candle Set</v>
      </c>
      <c r="H323" t="str">
        <f>VLOOKUP($B:$B,Products!$A:$D,3,FALSE)</f>
        <v>Home Decor</v>
      </c>
      <c r="I323">
        <f>VLOOKUP($B:$B,Products!$A:$D,4,FALSE)</f>
        <v>17604</v>
      </c>
      <c r="J323" s="4">
        <f>VLOOKUP($A:$A,Sales!$B:$H,6,FALSE)</f>
        <v>45615</v>
      </c>
      <c r="K323" s="9">
        <f>VLOOKUP($A:$A,Sales!$B:$H,4,FALSE)</f>
        <v>5</v>
      </c>
      <c r="L323" s="5">
        <f t="shared" ref="L323:L386" si="5">I323*K323</f>
        <v>88020</v>
      </c>
    </row>
    <row r="324" spans="1:12" x14ac:dyDescent="0.3">
      <c r="A324">
        <v>1133</v>
      </c>
      <c r="B324">
        <v>2015</v>
      </c>
      <c r="C324">
        <v>3019</v>
      </c>
      <c r="D324" t="str">
        <f>VLOOKUP('Sales table'!$A:$A,Customers!$A:$H,2,FALSE)</f>
        <v>Timothy Hunt</v>
      </c>
      <c r="E324">
        <f>VLOOKUP('Sales table'!$A:$A,Customers!$A:$H,4,FALSE)</f>
        <v>37</v>
      </c>
      <c r="F324" t="str">
        <f>VLOOKUP('Sales table'!$A:$A,Customers!$A:$H,5,FALSE)</f>
        <v>Kolkata</v>
      </c>
      <c r="G324" t="str">
        <f>VLOOKUP($B:$B,Products!$A:$D,2,FALSE)</f>
        <v>Candle Set</v>
      </c>
      <c r="H324" t="str">
        <f>VLOOKUP($B:$B,Products!$A:$D,3,FALSE)</f>
        <v>Home Decor</v>
      </c>
      <c r="I324">
        <f>VLOOKUP($B:$B,Products!$A:$D,4,FALSE)</f>
        <v>17604</v>
      </c>
      <c r="J324" s="4">
        <f>VLOOKUP($A:$A,Sales!$B:$H,6,FALSE)</f>
        <v>45583</v>
      </c>
      <c r="K324" s="9">
        <f>VLOOKUP($A:$A,Sales!$B:$H,4,FALSE)</f>
        <v>4</v>
      </c>
      <c r="L324" s="5">
        <f t="shared" si="5"/>
        <v>70416</v>
      </c>
    </row>
    <row r="325" spans="1:12" x14ac:dyDescent="0.3">
      <c r="A325">
        <v>1234</v>
      </c>
      <c r="B325">
        <v>2002</v>
      </c>
      <c r="C325">
        <v>3022</v>
      </c>
      <c r="D325" t="str">
        <f>VLOOKUP('Sales table'!$A:$A,Customers!$A:$H,2,FALSE)</f>
        <v>Kaitlyn Collier</v>
      </c>
      <c r="E325">
        <f>VLOOKUP('Sales table'!$A:$A,Customers!$A:$H,4,FALSE)</f>
        <v>55</v>
      </c>
      <c r="F325" t="str">
        <f>VLOOKUP('Sales table'!$A:$A,Customers!$A:$H,5,FALSE)</f>
        <v>Kolkata</v>
      </c>
      <c r="G325" t="str">
        <f>VLOOKUP($B:$B,Products!$A:$D,2,FALSE)</f>
        <v>Saree</v>
      </c>
      <c r="H325" t="str">
        <f>VLOOKUP($B:$B,Products!$A:$D,3,FALSE)</f>
        <v>Clothing</v>
      </c>
      <c r="I325">
        <f>VLOOKUP($B:$B,Products!$A:$D,4,FALSE)</f>
        <v>9534</v>
      </c>
      <c r="J325" s="4">
        <f>VLOOKUP($A:$A,Sales!$B:$H,6,FALSE)</f>
        <v>45610</v>
      </c>
      <c r="K325" s="9">
        <f>VLOOKUP($A:$A,Sales!$B:$H,4,FALSE)</f>
        <v>4</v>
      </c>
      <c r="L325" s="5">
        <f t="shared" si="5"/>
        <v>38136</v>
      </c>
    </row>
    <row r="326" spans="1:12" x14ac:dyDescent="0.3">
      <c r="A326">
        <v>1197</v>
      </c>
      <c r="B326">
        <v>2007</v>
      </c>
      <c r="C326">
        <v>3034</v>
      </c>
      <c r="D326" t="str">
        <f>VLOOKUP('Sales table'!$A:$A,Customers!$A:$H,2,FALSE)</f>
        <v>Daniel Price</v>
      </c>
      <c r="E326">
        <f>VLOOKUP('Sales table'!$A:$A,Customers!$A:$H,4,FALSE)</f>
        <v>25</v>
      </c>
      <c r="F326" t="str">
        <f>VLOOKUP('Sales table'!$A:$A,Customers!$A:$H,5,FALSE)</f>
        <v>Kolkata</v>
      </c>
      <c r="G326" t="str">
        <f>VLOOKUP($B:$B,Products!$A:$D,2,FALSE)</f>
        <v>Gift Hamper</v>
      </c>
      <c r="H326" t="str">
        <f>VLOOKUP($B:$B,Products!$A:$D,3,FALSE)</f>
        <v>Sweets &amp; Gifts</v>
      </c>
      <c r="I326">
        <f>VLOOKUP($B:$B,Products!$A:$D,4,FALSE)</f>
        <v>3412</v>
      </c>
      <c r="J326" s="4">
        <f>VLOOKUP($A:$A,Sales!$B:$H,6,FALSE)</f>
        <v>45612</v>
      </c>
      <c r="K326" s="9">
        <f>VLOOKUP($A:$A,Sales!$B:$H,4,FALSE)</f>
        <v>5</v>
      </c>
      <c r="L326" s="5">
        <f t="shared" si="5"/>
        <v>17060</v>
      </c>
    </row>
    <row r="327" spans="1:12" x14ac:dyDescent="0.3">
      <c r="A327">
        <v>1144</v>
      </c>
      <c r="B327">
        <v>2012</v>
      </c>
      <c r="C327">
        <v>3031</v>
      </c>
      <c r="D327" t="str">
        <f>VLOOKUP('Sales table'!$A:$A,Customers!$A:$H,2,FALSE)</f>
        <v>Amanda Henry</v>
      </c>
      <c r="E327">
        <f>VLOOKUP('Sales table'!$A:$A,Customers!$A:$H,4,FALSE)</f>
        <v>63</v>
      </c>
      <c r="F327" t="str">
        <f>VLOOKUP('Sales table'!$A:$A,Customers!$A:$H,5,FALSE)</f>
        <v>Hyderabad</v>
      </c>
      <c r="G327" t="str">
        <f>VLOOKUP($B:$B,Products!$A:$D,2,FALSE)</f>
        <v>Wall Hanging</v>
      </c>
      <c r="H327" t="str">
        <f>VLOOKUP($B:$B,Products!$A:$D,3,FALSE)</f>
        <v>Home Decor</v>
      </c>
      <c r="I327">
        <f>VLOOKUP($B:$B,Products!$A:$D,4,FALSE)</f>
        <v>11867</v>
      </c>
      <c r="J327" s="4">
        <f>VLOOKUP($A:$A,Sales!$B:$H,6,FALSE)</f>
        <v>45595</v>
      </c>
      <c r="K327" s="9">
        <f>VLOOKUP($A:$A,Sales!$B:$H,4,FALSE)</f>
        <v>5</v>
      </c>
      <c r="L327" s="5">
        <f t="shared" si="5"/>
        <v>59335</v>
      </c>
    </row>
    <row r="328" spans="1:12" x14ac:dyDescent="0.3">
      <c r="A328">
        <v>1230</v>
      </c>
      <c r="B328">
        <v>2020</v>
      </c>
      <c r="C328">
        <v>3004</v>
      </c>
      <c r="D328" t="str">
        <f>VLOOKUP('Sales table'!$A:$A,Customers!$A:$H,2,FALSE)</f>
        <v>Russell Gray</v>
      </c>
      <c r="E328">
        <f>VLOOKUP('Sales table'!$A:$A,Customers!$A:$H,4,FALSE)</f>
        <v>33</v>
      </c>
      <c r="F328" t="str">
        <f>VLOOKUP('Sales table'!$A:$A,Customers!$A:$H,5,FALSE)</f>
        <v>Hyderabad</v>
      </c>
      <c r="G328" t="str">
        <f>VLOOKUP($B:$B,Products!$A:$D,2,FALSE)</f>
        <v>Ethnic Jewelry</v>
      </c>
      <c r="H328" t="str">
        <f>VLOOKUP($B:$B,Products!$A:$D,3,FALSE)</f>
        <v>Precious Items</v>
      </c>
      <c r="I328">
        <f>VLOOKUP($B:$B,Products!$A:$D,4,FALSE)</f>
        <v>4495</v>
      </c>
      <c r="J328" s="4">
        <f>VLOOKUP($A:$A,Sales!$B:$H,6,FALSE)</f>
        <v>45612</v>
      </c>
      <c r="K328" s="9">
        <f>VLOOKUP($A:$A,Sales!$B:$H,4,FALSE)</f>
        <v>2</v>
      </c>
      <c r="L328" s="5">
        <f t="shared" si="5"/>
        <v>8990</v>
      </c>
    </row>
    <row r="329" spans="1:12" x14ac:dyDescent="0.3">
      <c r="A329">
        <v>1215</v>
      </c>
      <c r="B329">
        <v>2015</v>
      </c>
      <c r="C329">
        <v>3034</v>
      </c>
      <c r="D329" t="str">
        <f>VLOOKUP('Sales table'!$A:$A,Customers!$A:$H,2,FALSE)</f>
        <v>Brent Murphy</v>
      </c>
      <c r="E329">
        <f>VLOOKUP('Sales table'!$A:$A,Customers!$A:$H,4,FALSE)</f>
        <v>57</v>
      </c>
      <c r="F329" t="str">
        <f>VLOOKUP('Sales table'!$A:$A,Customers!$A:$H,5,FALSE)</f>
        <v>Hyderabad</v>
      </c>
      <c r="G329" t="str">
        <f>VLOOKUP($B:$B,Products!$A:$D,2,FALSE)</f>
        <v>Candle Set</v>
      </c>
      <c r="H329" t="str">
        <f>VLOOKUP($B:$B,Products!$A:$D,3,FALSE)</f>
        <v>Home Decor</v>
      </c>
      <c r="I329">
        <f>VLOOKUP($B:$B,Products!$A:$D,4,FALSE)</f>
        <v>17604</v>
      </c>
      <c r="J329" s="4">
        <f>VLOOKUP($A:$A,Sales!$B:$H,6,FALSE)</f>
        <v>45579</v>
      </c>
      <c r="K329" s="9">
        <f>VLOOKUP($A:$A,Sales!$B:$H,4,FALSE)</f>
        <v>2</v>
      </c>
      <c r="L329" s="5">
        <f t="shared" si="5"/>
        <v>35208</v>
      </c>
    </row>
    <row r="330" spans="1:12" x14ac:dyDescent="0.3">
      <c r="A330">
        <v>1216</v>
      </c>
      <c r="B330">
        <v>2008</v>
      </c>
      <c r="C330">
        <v>3029</v>
      </c>
      <c r="D330" t="str">
        <f>VLOOKUP('Sales table'!$A:$A,Customers!$A:$H,2,FALSE)</f>
        <v>Michelle Greer</v>
      </c>
      <c r="E330">
        <f>VLOOKUP('Sales table'!$A:$A,Customers!$A:$H,4,FALSE)</f>
        <v>41</v>
      </c>
      <c r="F330" t="str">
        <f>VLOOKUP('Sales table'!$A:$A,Customers!$A:$H,5,FALSE)</f>
        <v>Kolkata</v>
      </c>
      <c r="G330" t="str">
        <f>VLOOKUP($B:$B,Products!$A:$D,2,FALSE)</f>
        <v>Earthen Diyas</v>
      </c>
      <c r="H330" t="str">
        <f>VLOOKUP($B:$B,Products!$A:$D,3,FALSE)</f>
        <v>Home Decor</v>
      </c>
      <c r="I330">
        <f>VLOOKUP($B:$B,Products!$A:$D,4,FALSE)</f>
        <v>2136</v>
      </c>
      <c r="J330" s="4">
        <f>VLOOKUP($A:$A,Sales!$B:$H,6,FALSE)</f>
        <v>45576</v>
      </c>
      <c r="K330" s="9">
        <f>VLOOKUP($A:$A,Sales!$B:$H,4,FALSE)</f>
        <v>3</v>
      </c>
      <c r="L330" s="5">
        <f t="shared" si="5"/>
        <v>6408</v>
      </c>
    </row>
    <row r="331" spans="1:12" x14ac:dyDescent="0.3">
      <c r="A331">
        <v>1253</v>
      </c>
      <c r="B331">
        <v>2025</v>
      </c>
      <c r="C331">
        <v>3022</v>
      </c>
      <c r="D331" t="str">
        <f>VLOOKUP('Sales table'!$A:$A,Customers!$A:$H,2,FALSE)</f>
        <v>Javier Lewis</v>
      </c>
      <c r="E331">
        <f>VLOOKUP('Sales table'!$A:$A,Customers!$A:$H,4,FALSE)</f>
        <v>40</v>
      </c>
      <c r="F331" t="str">
        <f>VLOOKUP('Sales table'!$A:$A,Customers!$A:$H,5,FALSE)</f>
        <v>Bangalore</v>
      </c>
      <c r="G331" t="str">
        <f>VLOOKUP($B:$B,Products!$A:$D,2,FALSE)</f>
        <v>Handbag</v>
      </c>
      <c r="H331" t="str">
        <f>VLOOKUP($B:$B,Products!$A:$D,3,FALSE)</f>
        <v>Accessories</v>
      </c>
      <c r="I331">
        <f>VLOOKUP($B:$B,Products!$A:$D,4,FALSE)</f>
        <v>17019</v>
      </c>
      <c r="J331" s="4">
        <f>VLOOKUP($A:$A,Sales!$B:$H,6,FALSE)</f>
        <v>45612</v>
      </c>
      <c r="K331" s="9">
        <f>VLOOKUP($A:$A,Sales!$B:$H,4,FALSE)</f>
        <v>4</v>
      </c>
      <c r="L331" s="5">
        <f t="shared" si="5"/>
        <v>68076</v>
      </c>
    </row>
    <row r="332" spans="1:12" x14ac:dyDescent="0.3">
      <c r="A332">
        <v>1142</v>
      </c>
      <c r="B332">
        <v>2018</v>
      </c>
      <c r="C332">
        <v>3022</v>
      </c>
      <c r="D332" t="str">
        <f>VLOOKUP('Sales table'!$A:$A,Customers!$A:$H,2,FALSE)</f>
        <v>Derek Coffey</v>
      </c>
      <c r="E332">
        <f>VLOOKUP('Sales table'!$A:$A,Customers!$A:$H,4,FALSE)</f>
        <v>21</v>
      </c>
      <c r="F332" t="str">
        <f>VLOOKUP('Sales table'!$A:$A,Customers!$A:$H,5,FALSE)</f>
        <v>Chennai</v>
      </c>
      <c r="G332" t="str">
        <f>VLOOKUP($B:$B,Products!$A:$D,2,FALSE)</f>
        <v>Dry Fruits Pack</v>
      </c>
      <c r="H332" t="str">
        <f>VLOOKUP($B:$B,Products!$A:$D,3,FALSE)</f>
        <v>Sweets &amp; Gifts</v>
      </c>
      <c r="I332">
        <f>VLOOKUP($B:$B,Products!$A:$D,4,FALSE)</f>
        <v>7243</v>
      </c>
      <c r="J332" s="4">
        <f>VLOOKUP($A:$A,Sales!$B:$H,6,FALSE)</f>
        <v>45585</v>
      </c>
      <c r="K332" s="9">
        <f>VLOOKUP($A:$A,Sales!$B:$H,4,FALSE)</f>
        <v>5</v>
      </c>
      <c r="L332" s="5">
        <f t="shared" si="5"/>
        <v>36215</v>
      </c>
    </row>
    <row r="333" spans="1:12" x14ac:dyDescent="0.3">
      <c r="A333">
        <v>1104</v>
      </c>
      <c r="B333">
        <v>2018</v>
      </c>
      <c r="C333">
        <v>3020</v>
      </c>
      <c r="D333" t="str">
        <f>VLOOKUP('Sales table'!$A:$A,Customers!$A:$H,2,FALSE)</f>
        <v>Gabriel Mcdonald</v>
      </c>
      <c r="E333">
        <f>VLOOKUP('Sales table'!$A:$A,Customers!$A:$H,4,FALSE)</f>
        <v>50</v>
      </c>
      <c r="F333" t="str">
        <f>VLOOKUP('Sales table'!$A:$A,Customers!$A:$H,5,FALSE)</f>
        <v>Hyderabad</v>
      </c>
      <c r="G333" t="str">
        <f>VLOOKUP($B:$B,Products!$A:$D,2,FALSE)</f>
        <v>Dry Fruits Pack</v>
      </c>
      <c r="H333" t="str">
        <f>VLOOKUP($B:$B,Products!$A:$D,3,FALSE)</f>
        <v>Sweets &amp; Gifts</v>
      </c>
      <c r="I333">
        <f>VLOOKUP($B:$B,Products!$A:$D,4,FALSE)</f>
        <v>7243</v>
      </c>
      <c r="J333" s="4">
        <f>VLOOKUP($A:$A,Sales!$B:$H,6,FALSE)</f>
        <v>45605</v>
      </c>
      <c r="K333" s="9">
        <f>VLOOKUP($A:$A,Sales!$B:$H,4,FALSE)</f>
        <v>1</v>
      </c>
      <c r="L333" s="5">
        <f t="shared" si="5"/>
        <v>7243</v>
      </c>
    </row>
    <row r="334" spans="1:12" x14ac:dyDescent="0.3">
      <c r="A334">
        <v>1253</v>
      </c>
      <c r="B334">
        <v>2014</v>
      </c>
      <c r="C334">
        <v>3029</v>
      </c>
      <c r="D334" t="str">
        <f>VLOOKUP('Sales table'!$A:$A,Customers!$A:$H,2,FALSE)</f>
        <v>Javier Lewis</v>
      </c>
      <c r="E334">
        <f>VLOOKUP('Sales table'!$A:$A,Customers!$A:$H,4,FALSE)</f>
        <v>40</v>
      </c>
      <c r="F334" t="str">
        <f>VLOOKUP('Sales table'!$A:$A,Customers!$A:$H,5,FALSE)</f>
        <v>Bangalore</v>
      </c>
      <c r="G334" t="str">
        <f>VLOOKUP($B:$B,Products!$A:$D,2,FALSE)</f>
        <v>Gold Coin</v>
      </c>
      <c r="H334" t="str">
        <f>VLOOKUP($B:$B,Products!$A:$D,3,FALSE)</f>
        <v>Precious Items</v>
      </c>
      <c r="I334">
        <f>VLOOKUP($B:$B,Products!$A:$D,4,FALSE)</f>
        <v>13823</v>
      </c>
      <c r="J334" s="4">
        <f>VLOOKUP($A:$A,Sales!$B:$H,6,FALSE)</f>
        <v>45612</v>
      </c>
      <c r="K334" s="9">
        <f>VLOOKUP($A:$A,Sales!$B:$H,4,FALSE)</f>
        <v>4</v>
      </c>
      <c r="L334" s="5">
        <f t="shared" si="5"/>
        <v>55292</v>
      </c>
    </row>
    <row r="335" spans="1:12" x14ac:dyDescent="0.3">
      <c r="A335">
        <v>1231</v>
      </c>
      <c r="B335">
        <v>2005</v>
      </c>
      <c r="C335">
        <v>3021</v>
      </c>
      <c r="D335" t="str">
        <f>VLOOKUP('Sales table'!$A:$A,Customers!$A:$H,2,FALSE)</f>
        <v>William Campbell</v>
      </c>
      <c r="E335">
        <f>VLOOKUP('Sales table'!$A:$A,Customers!$A:$H,4,FALSE)</f>
        <v>37</v>
      </c>
      <c r="F335" t="str">
        <f>VLOOKUP('Sales table'!$A:$A,Customers!$A:$H,5,FALSE)</f>
        <v>Hyderabad</v>
      </c>
      <c r="G335" t="str">
        <f>VLOOKUP($B:$B,Products!$A:$D,2,FALSE)</f>
        <v>LED Lamp</v>
      </c>
      <c r="H335" t="str">
        <f>VLOOKUP($B:$B,Products!$A:$D,3,FALSE)</f>
        <v>Home Decor</v>
      </c>
      <c r="I335">
        <f>VLOOKUP($B:$B,Products!$A:$D,4,FALSE)</f>
        <v>3828</v>
      </c>
      <c r="J335" s="4">
        <f>VLOOKUP($A:$A,Sales!$B:$H,6,FALSE)</f>
        <v>45606</v>
      </c>
      <c r="K335" s="9">
        <f>VLOOKUP($A:$A,Sales!$B:$H,4,FALSE)</f>
        <v>3</v>
      </c>
      <c r="L335" s="5">
        <f t="shared" si="5"/>
        <v>11484</v>
      </c>
    </row>
    <row r="336" spans="1:12" x14ac:dyDescent="0.3">
      <c r="A336">
        <v>1141</v>
      </c>
      <c r="B336">
        <v>2004</v>
      </c>
      <c r="C336">
        <v>3001</v>
      </c>
      <c r="D336" t="str">
        <f>VLOOKUP('Sales table'!$A:$A,Customers!$A:$H,2,FALSE)</f>
        <v>Pamela Smith</v>
      </c>
      <c r="E336">
        <f>VLOOKUP('Sales table'!$A:$A,Customers!$A:$H,4,FALSE)</f>
        <v>40</v>
      </c>
      <c r="F336" t="str">
        <f>VLOOKUP('Sales table'!$A:$A,Customers!$A:$H,5,FALSE)</f>
        <v>Bangalore</v>
      </c>
      <c r="G336" t="str">
        <f>VLOOKUP($B:$B,Products!$A:$D,2,FALSE)</f>
        <v>Smartphone</v>
      </c>
      <c r="H336" t="str">
        <f>VLOOKUP($B:$B,Products!$A:$D,3,FALSE)</f>
        <v>Electronics</v>
      </c>
      <c r="I336">
        <f>VLOOKUP($B:$B,Products!$A:$D,4,FALSE)</f>
        <v>4952</v>
      </c>
      <c r="J336" s="4">
        <f>VLOOKUP($A:$A,Sales!$B:$H,6,FALSE)</f>
        <v>45584</v>
      </c>
      <c r="K336" s="9">
        <f>VLOOKUP($A:$A,Sales!$B:$H,4,FALSE)</f>
        <v>5</v>
      </c>
      <c r="L336" s="5">
        <f t="shared" si="5"/>
        <v>24760</v>
      </c>
    </row>
    <row r="337" spans="1:12" x14ac:dyDescent="0.3">
      <c r="A337">
        <v>1037</v>
      </c>
      <c r="B337">
        <v>2003</v>
      </c>
      <c r="C337">
        <v>3032</v>
      </c>
      <c r="D337" t="str">
        <f>VLOOKUP('Sales table'!$A:$A,Customers!$A:$H,2,FALSE)</f>
        <v>Donald Wells</v>
      </c>
      <c r="E337">
        <f>VLOOKUP('Sales table'!$A:$A,Customers!$A:$H,4,FALSE)</f>
        <v>36</v>
      </c>
      <c r="F337" t="str">
        <f>VLOOKUP('Sales table'!$A:$A,Customers!$A:$H,5,FALSE)</f>
        <v>Delhi</v>
      </c>
      <c r="G337" t="str">
        <f>VLOOKUP($B:$B,Products!$A:$D,2,FALSE)</f>
        <v>Kurta</v>
      </c>
      <c r="H337" t="str">
        <f>VLOOKUP($B:$B,Products!$A:$D,3,FALSE)</f>
        <v>Clothing</v>
      </c>
      <c r="I337">
        <f>VLOOKUP($B:$B,Products!$A:$D,4,FALSE)</f>
        <v>13241</v>
      </c>
      <c r="J337" s="4">
        <f>VLOOKUP($A:$A,Sales!$B:$H,6,FALSE)</f>
        <v>45603</v>
      </c>
      <c r="K337" s="9">
        <f>VLOOKUP($A:$A,Sales!$B:$H,4,FALSE)</f>
        <v>5</v>
      </c>
      <c r="L337" s="5">
        <f t="shared" si="5"/>
        <v>66205</v>
      </c>
    </row>
    <row r="338" spans="1:12" x14ac:dyDescent="0.3">
      <c r="A338">
        <v>1253</v>
      </c>
      <c r="B338">
        <v>2007</v>
      </c>
      <c r="C338">
        <v>3026</v>
      </c>
      <c r="D338" t="str">
        <f>VLOOKUP('Sales table'!$A:$A,Customers!$A:$H,2,FALSE)</f>
        <v>Javier Lewis</v>
      </c>
      <c r="E338">
        <f>VLOOKUP('Sales table'!$A:$A,Customers!$A:$H,4,FALSE)</f>
        <v>40</v>
      </c>
      <c r="F338" t="str">
        <f>VLOOKUP('Sales table'!$A:$A,Customers!$A:$H,5,FALSE)</f>
        <v>Bangalore</v>
      </c>
      <c r="G338" t="str">
        <f>VLOOKUP($B:$B,Products!$A:$D,2,FALSE)</f>
        <v>Gift Hamper</v>
      </c>
      <c r="H338" t="str">
        <f>VLOOKUP($B:$B,Products!$A:$D,3,FALSE)</f>
        <v>Sweets &amp; Gifts</v>
      </c>
      <c r="I338">
        <f>VLOOKUP($B:$B,Products!$A:$D,4,FALSE)</f>
        <v>3412</v>
      </c>
      <c r="J338" s="4">
        <f>VLOOKUP($A:$A,Sales!$B:$H,6,FALSE)</f>
        <v>45612</v>
      </c>
      <c r="K338" s="9">
        <f>VLOOKUP($A:$A,Sales!$B:$H,4,FALSE)</f>
        <v>4</v>
      </c>
      <c r="L338" s="5">
        <f t="shared" si="5"/>
        <v>13648</v>
      </c>
    </row>
    <row r="339" spans="1:12" x14ac:dyDescent="0.3">
      <c r="A339">
        <v>1265</v>
      </c>
      <c r="B339">
        <v>2015</v>
      </c>
      <c r="C339">
        <v>3007</v>
      </c>
      <c r="D339" t="str">
        <f>VLOOKUP('Sales table'!$A:$A,Customers!$A:$H,2,FALSE)</f>
        <v>Cynthia Chen</v>
      </c>
      <c r="E339">
        <f>VLOOKUP('Sales table'!$A:$A,Customers!$A:$H,4,FALSE)</f>
        <v>30</v>
      </c>
      <c r="F339" t="str">
        <f>VLOOKUP('Sales table'!$A:$A,Customers!$A:$H,5,FALSE)</f>
        <v>Mumbai</v>
      </c>
      <c r="G339" t="str">
        <f>VLOOKUP($B:$B,Products!$A:$D,2,FALSE)</f>
        <v>Candle Set</v>
      </c>
      <c r="H339" t="str">
        <f>VLOOKUP($B:$B,Products!$A:$D,3,FALSE)</f>
        <v>Home Decor</v>
      </c>
      <c r="I339">
        <f>VLOOKUP($B:$B,Products!$A:$D,4,FALSE)</f>
        <v>17604</v>
      </c>
      <c r="J339" s="4">
        <f>VLOOKUP($A:$A,Sales!$B:$H,6,FALSE)</f>
        <v>45602</v>
      </c>
      <c r="K339" s="9">
        <f>VLOOKUP($A:$A,Sales!$B:$H,4,FALSE)</f>
        <v>2</v>
      </c>
      <c r="L339" s="5">
        <f t="shared" si="5"/>
        <v>35208</v>
      </c>
    </row>
    <row r="340" spans="1:12" x14ac:dyDescent="0.3">
      <c r="A340">
        <v>1185</v>
      </c>
      <c r="B340">
        <v>2008</v>
      </c>
      <c r="C340">
        <v>3024</v>
      </c>
      <c r="D340" t="str">
        <f>VLOOKUP('Sales table'!$A:$A,Customers!$A:$H,2,FALSE)</f>
        <v>Patrick Osborn</v>
      </c>
      <c r="E340">
        <f>VLOOKUP('Sales table'!$A:$A,Customers!$A:$H,4,FALSE)</f>
        <v>52</v>
      </c>
      <c r="F340" t="str">
        <f>VLOOKUP('Sales table'!$A:$A,Customers!$A:$H,5,FALSE)</f>
        <v>Mumbai</v>
      </c>
      <c r="G340" t="str">
        <f>VLOOKUP($B:$B,Products!$A:$D,2,FALSE)</f>
        <v>Earthen Diyas</v>
      </c>
      <c r="H340" t="str">
        <f>VLOOKUP($B:$B,Products!$A:$D,3,FALSE)</f>
        <v>Home Decor</v>
      </c>
      <c r="I340">
        <f>VLOOKUP($B:$B,Products!$A:$D,4,FALSE)</f>
        <v>2136</v>
      </c>
      <c r="J340" s="4">
        <f>VLOOKUP($A:$A,Sales!$B:$H,6,FALSE)</f>
        <v>45597</v>
      </c>
      <c r="K340" s="9">
        <f>VLOOKUP($A:$A,Sales!$B:$H,4,FALSE)</f>
        <v>4</v>
      </c>
      <c r="L340" s="5">
        <f t="shared" si="5"/>
        <v>8544</v>
      </c>
    </row>
    <row r="341" spans="1:12" x14ac:dyDescent="0.3">
      <c r="A341">
        <v>1235</v>
      </c>
      <c r="B341">
        <v>2004</v>
      </c>
      <c r="C341">
        <v>3007</v>
      </c>
      <c r="D341" t="str">
        <f>VLOOKUP('Sales table'!$A:$A,Customers!$A:$H,2,FALSE)</f>
        <v>Shawn Rodriguez</v>
      </c>
      <c r="E341">
        <f>VLOOKUP('Sales table'!$A:$A,Customers!$A:$H,4,FALSE)</f>
        <v>36</v>
      </c>
      <c r="F341" t="str">
        <f>VLOOKUP('Sales table'!$A:$A,Customers!$A:$H,5,FALSE)</f>
        <v>Delhi</v>
      </c>
      <c r="G341" t="str">
        <f>VLOOKUP($B:$B,Products!$A:$D,2,FALSE)</f>
        <v>Smartphone</v>
      </c>
      <c r="H341" t="str">
        <f>VLOOKUP($B:$B,Products!$A:$D,3,FALSE)</f>
        <v>Electronics</v>
      </c>
      <c r="I341">
        <f>VLOOKUP($B:$B,Products!$A:$D,4,FALSE)</f>
        <v>4952</v>
      </c>
      <c r="J341" s="4">
        <f>VLOOKUP($A:$A,Sales!$B:$H,6,FALSE)</f>
        <v>45587</v>
      </c>
      <c r="K341" s="9">
        <f>VLOOKUP($A:$A,Sales!$B:$H,4,FALSE)</f>
        <v>2</v>
      </c>
      <c r="L341" s="5">
        <f t="shared" si="5"/>
        <v>9904</v>
      </c>
    </row>
    <row r="342" spans="1:12" x14ac:dyDescent="0.3">
      <c r="A342">
        <v>1039</v>
      </c>
      <c r="B342">
        <v>2013</v>
      </c>
      <c r="C342">
        <v>3031</v>
      </c>
      <c r="D342" t="str">
        <f>VLOOKUP('Sales table'!$A:$A,Customers!$A:$H,2,FALSE)</f>
        <v>Carol Allen</v>
      </c>
      <c r="E342">
        <f>VLOOKUP('Sales table'!$A:$A,Customers!$A:$H,4,FALSE)</f>
        <v>22</v>
      </c>
      <c r="F342" t="str">
        <f>VLOOKUP('Sales table'!$A:$A,Customers!$A:$H,5,FALSE)</f>
        <v>Bangalore</v>
      </c>
      <c r="G342" t="str">
        <f>VLOOKUP($B:$B,Products!$A:$D,2,FALSE)</f>
        <v>Silver Coin</v>
      </c>
      <c r="H342" t="str">
        <f>VLOOKUP($B:$B,Products!$A:$D,3,FALSE)</f>
        <v>Precious Items</v>
      </c>
      <c r="I342">
        <f>VLOOKUP($B:$B,Products!$A:$D,4,FALSE)</f>
        <v>11845</v>
      </c>
      <c r="J342" s="4">
        <f>VLOOKUP($A:$A,Sales!$B:$H,6,FALSE)</f>
        <v>45613</v>
      </c>
      <c r="K342" s="9">
        <f>VLOOKUP($A:$A,Sales!$B:$H,4,FALSE)</f>
        <v>1</v>
      </c>
      <c r="L342" s="5">
        <f t="shared" si="5"/>
        <v>11845</v>
      </c>
    </row>
    <row r="343" spans="1:12" x14ac:dyDescent="0.3">
      <c r="A343">
        <v>1014</v>
      </c>
      <c r="B343">
        <v>2008</v>
      </c>
      <c r="C343">
        <v>3033</v>
      </c>
      <c r="D343" t="str">
        <f>VLOOKUP('Sales table'!$A:$A,Customers!$A:$H,2,FALSE)</f>
        <v>Gregory Maddox</v>
      </c>
      <c r="E343">
        <f>VLOOKUP('Sales table'!$A:$A,Customers!$A:$H,4,FALSE)</f>
        <v>47</v>
      </c>
      <c r="F343" t="str">
        <f>VLOOKUP('Sales table'!$A:$A,Customers!$A:$H,5,FALSE)</f>
        <v>Mumbai</v>
      </c>
      <c r="G343" t="str">
        <f>VLOOKUP($B:$B,Products!$A:$D,2,FALSE)</f>
        <v>Earthen Diyas</v>
      </c>
      <c r="H343" t="str">
        <f>VLOOKUP($B:$B,Products!$A:$D,3,FALSE)</f>
        <v>Home Decor</v>
      </c>
      <c r="I343">
        <f>VLOOKUP($B:$B,Products!$A:$D,4,FALSE)</f>
        <v>2136</v>
      </c>
      <c r="J343" s="4">
        <f>VLOOKUP($A:$A,Sales!$B:$H,6,FALSE)</f>
        <v>45582</v>
      </c>
      <c r="K343" s="9">
        <f>VLOOKUP($A:$A,Sales!$B:$H,4,FALSE)</f>
        <v>3</v>
      </c>
      <c r="L343" s="5">
        <f t="shared" si="5"/>
        <v>6408</v>
      </c>
    </row>
    <row r="344" spans="1:12" x14ac:dyDescent="0.3">
      <c r="A344">
        <v>1167</v>
      </c>
      <c r="B344">
        <v>2020</v>
      </c>
      <c r="C344">
        <v>3015</v>
      </c>
      <c r="D344" t="str">
        <f>VLOOKUP('Sales table'!$A:$A,Customers!$A:$H,2,FALSE)</f>
        <v>Tracy Hernandez</v>
      </c>
      <c r="E344">
        <f>VLOOKUP('Sales table'!$A:$A,Customers!$A:$H,4,FALSE)</f>
        <v>65</v>
      </c>
      <c r="F344" t="str">
        <f>VLOOKUP('Sales table'!$A:$A,Customers!$A:$H,5,FALSE)</f>
        <v>Bangalore</v>
      </c>
      <c r="G344" t="str">
        <f>VLOOKUP($B:$B,Products!$A:$D,2,FALSE)</f>
        <v>Ethnic Jewelry</v>
      </c>
      <c r="H344" t="str">
        <f>VLOOKUP($B:$B,Products!$A:$D,3,FALSE)</f>
        <v>Precious Items</v>
      </c>
      <c r="I344">
        <f>VLOOKUP($B:$B,Products!$A:$D,4,FALSE)</f>
        <v>4495</v>
      </c>
      <c r="J344" s="4">
        <f>VLOOKUP($A:$A,Sales!$B:$H,6,FALSE)</f>
        <v>45602</v>
      </c>
      <c r="K344" s="9">
        <f>VLOOKUP($A:$A,Sales!$B:$H,4,FALSE)</f>
        <v>3</v>
      </c>
      <c r="L344" s="5">
        <f t="shared" si="5"/>
        <v>13485</v>
      </c>
    </row>
    <row r="345" spans="1:12" x14ac:dyDescent="0.3">
      <c r="A345">
        <v>1164</v>
      </c>
      <c r="B345">
        <v>2025</v>
      </c>
      <c r="C345">
        <v>3033</v>
      </c>
      <c r="D345" t="str">
        <f>VLOOKUP('Sales table'!$A:$A,Customers!$A:$H,2,FALSE)</f>
        <v>Craig Washington</v>
      </c>
      <c r="E345">
        <f>VLOOKUP('Sales table'!$A:$A,Customers!$A:$H,4,FALSE)</f>
        <v>37</v>
      </c>
      <c r="F345" t="str">
        <f>VLOOKUP('Sales table'!$A:$A,Customers!$A:$H,5,FALSE)</f>
        <v>Delhi</v>
      </c>
      <c r="G345" t="str">
        <f>VLOOKUP($B:$B,Products!$A:$D,2,FALSE)</f>
        <v>Handbag</v>
      </c>
      <c r="H345" t="str">
        <f>VLOOKUP($B:$B,Products!$A:$D,3,FALSE)</f>
        <v>Accessories</v>
      </c>
      <c r="I345">
        <f>VLOOKUP($B:$B,Products!$A:$D,4,FALSE)</f>
        <v>17019</v>
      </c>
      <c r="J345" s="4">
        <f>VLOOKUP($A:$A,Sales!$B:$H,6,FALSE)</f>
        <v>45596</v>
      </c>
      <c r="K345" s="9">
        <f>VLOOKUP($A:$A,Sales!$B:$H,4,FALSE)</f>
        <v>4</v>
      </c>
      <c r="L345" s="5">
        <f t="shared" si="5"/>
        <v>68076</v>
      </c>
    </row>
    <row r="346" spans="1:12" x14ac:dyDescent="0.3">
      <c r="A346">
        <v>1038</v>
      </c>
      <c r="B346">
        <v>2012</v>
      </c>
      <c r="C346">
        <v>3030</v>
      </c>
      <c r="D346" t="str">
        <f>VLOOKUP('Sales table'!$A:$A,Customers!$A:$H,2,FALSE)</f>
        <v>Eric Escobar</v>
      </c>
      <c r="E346">
        <f>VLOOKUP('Sales table'!$A:$A,Customers!$A:$H,4,FALSE)</f>
        <v>64</v>
      </c>
      <c r="F346" t="str">
        <f>VLOOKUP('Sales table'!$A:$A,Customers!$A:$H,5,FALSE)</f>
        <v>Pune</v>
      </c>
      <c r="G346" t="str">
        <f>VLOOKUP($B:$B,Products!$A:$D,2,FALSE)</f>
        <v>Wall Hanging</v>
      </c>
      <c r="H346" t="str">
        <f>VLOOKUP($B:$B,Products!$A:$D,3,FALSE)</f>
        <v>Home Decor</v>
      </c>
      <c r="I346">
        <f>VLOOKUP($B:$B,Products!$A:$D,4,FALSE)</f>
        <v>11867</v>
      </c>
      <c r="J346" s="4">
        <f>VLOOKUP($A:$A,Sales!$B:$H,6,FALSE)</f>
        <v>45604</v>
      </c>
      <c r="K346" s="9">
        <f>VLOOKUP($A:$A,Sales!$B:$H,4,FALSE)</f>
        <v>4</v>
      </c>
      <c r="L346" s="5">
        <f t="shared" si="5"/>
        <v>47468</v>
      </c>
    </row>
    <row r="347" spans="1:12" x14ac:dyDescent="0.3">
      <c r="A347">
        <v>1109</v>
      </c>
      <c r="B347">
        <v>2005</v>
      </c>
      <c r="C347">
        <v>3034</v>
      </c>
      <c r="D347" t="str">
        <f>VLOOKUP('Sales table'!$A:$A,Customers!$A:$H,2,FALSE)</f>
        <v>Benjamin Blackwell</v>
      </c>
      <c r="E347">
        <f>VLOOKUP('Sales table'!$A:$A,Customers!$A:$H,4,FALSE)</f>
        <v>21</v>
      </c>
      <c r="F347" t="str">
        <f>VLOOKUP('Sales table'!$A:$A,Customers!$A:$H,5,FALSE)</f>
        <v>Delhi</v>
      </c>
      <c r="G347" t="str">
        <f>VLOOKUP($B:$B,Products!$A:$D,2,FALSE)</f>
        <v>LED Lamp</v>
      </c>
      <c r="H347" t="str">
        <f>VLOOKUP($B:$B,Products!$A:$D,3,FALSE)</f>
        <v>Home Decor</v>
      </c>
      <c r="I347">
        <f>VLOOKUP($B:$B,Products!$A:$D,4,FALSE)</f>
        <v>3828</v>
      </c>
      <c r="J347" s="4">
        <f>VLOOKUP($A:$A,Sales!$B:$H,6,FALSE)</f>
        <v>45578</v>
      </c>
      <c r="K347" s="9">
        <f>VLOOKUP($A:$A,Sales!$B:$H,4,FALSE)</f>
        <v>2</v>
      </c>
      <c r="L347" s="5">
        <f t="shared" si="5"/>
        <v>7656</v>
      </c>
    </row>
    <row r="348" spans="1:12" x14ac:dyDescent="0.3">
      <c r="A348">
        <v>1034</v>
      </c>
      <c r="B348">
        <v>2010</v>
      </c>
      <c r="C348">
        <v>3030</v>
      </c>
      <c r="D348" t="str">
        <f>VLOOKUP('Sales table'!$A:$A,Customers!$A:$H,2,FALSE)</f>
        <v>Pamela Watson</v>
      </c>
      <c r="E348">
        <f>VLOOKUP('Sales table'!$A:$A,Customers!$A:$H,4,FALSE)</f>
        <v>25</v>
      </c>
      <c r="F348" t="str">
        <f>VLOOKUP('Sales table'!$A:$A,Customers!$A:$H,5,FALSE)</f>
        <v>Kolkata</v>
      </c>
      <c r="G348" t="str">
        <f>VLOOKUP($B:$B,Products!$A:$D,2,FALSE)</f>
        <v>Chocolate Box</v>
      </c>
      <c r="H348" t="str">
        <f>VLOOKUP($B:$B,Products!$A:$D,3,FALSE)</f>
        <v>Sweets &amp; Gifts</v>
      </c>
      <c r="I348">
        <f>VLOOKUP($B:$B,Products!$A:$D,4,FALSE)</f>
        <v>17909</v>
      </c>
      <c r="J348" s="4">
        <f>VLOOKUP($A:$A,Sales!$B:$H,6,FALSE)</f>
        <v>45603</v>
      </c>
      <c r="K348" s="9">
        <f>VLOOKUP($A:$A,Sales!$B:$H,4,FALSE)</f>
        <v>1</v>
      </c>
      <c r="L348" s="5">
        <f t="shared" si="5"/>
        <v>17909</v>
      </c>
    </row>
    <row r="349" spans="1:12" x14ac:dyDescent="0.3">
      <c r="A349">
        <v>1057</v>
      </c>
      <c r="B349">
        <v>2001</v>
      </c>
      <c r="C349">
        <v>3028</v>
      </c>
      <c r="D349" t="str">
        <f>VLOOKUP('Sales table'!$A:$A,Customers!$A:$H,2,FALSE)</f>
        <v>John Lopez</v>
      </c>
      <c r="E349">
        <f>VLOOKUP('Sales table'!$A:$A,Customers!$A:$H,4,FALSE)</f>
        <v>51</v>
      </c>
      <c r="F349" t="str">
        <f>VLOOKUP('Sales table'!$A:$A,Customers!$A:$H,5,FALSE)</f>
        <v>Bangalore</v>
      </c>
      <c r="G349" t="str">
        <f>VLOOKUP($B:$B,Products!$A:$D,2,FALSE)</f>
        <v>Sweets Box</v>
      </c>
      <c r="H349" t="str">
        <f>VLOOKUP($B:$B,Products!$A:$D,3,FALSE)</f>
        <v>Sweets &amp; Gifts</v>
      </c>
      <c r="I349">
        <f>VLOOKUP($B:$B,Products!$A:$D,4,FALSE)</f>
        <v>7228</v>
      </c>
      <c r="J349" s="4">
        <f>VLOOKUP($A:$A,Sales!$B:$H,6,FALSE)</f>
        <v>45591</v>
      </c>
      <c r="K349" s="9">
        <f>VLOOKUP($A:$A,Sales!$B:$H,4,FALSE)</f>
        <v>4</v>
      </c>
      <c r="L349" s="5">
        <f t="shared" si="5"/>
        <v>28912</v>
      </c>
    </row>
    <row r="350" spans="1:12" x14ac:dyDescent="0.3">
      <c r="A350">
        <v>1162</v>
      </c>
      <c r="B350">
        <v>2010</v>
      </c>
      <c r="C350">
        <v>3016</v>
      </c>
      <c r="D350" t="str">
        <f>VLOOKUP('Sales table'!$A:$A,Customers!$A:$H,2,FALSE)</f>
        <v>Jamie Jarvis</v>
      </c>
      <c r="E350">
        <f>VLOOKUP('Sales table'!$A:$A,Customers!$A:$H,4,FALSE)</f>
        <v>38</v>
      </c>
      <c r="F350" t="str">
        <f>VLOOKUP('Sales table'!$A:$A,Customers!$A:$H,5,FALSE)</f>
        <v>Kolkata</v>
      </c>
      <c r="G350" t="str">
        <f>VLOOKUP($B:$B,Products!$A:$D,2,FALSE)</f>
        <v>Chocolate Box</v>
      </c>
      <c r="H350" t="str">
        <f>VLOOKUP($B:$B,Products!$A:$D,3,FALSE)</f>
        <v>Sweets &amp; Gifts</v>
      </c>
      <c r="I350">
        <f>VLOOKUP($B:$B,Products!$A:$D,4,FALSE)</f>
        <v>17909</v>
      </c>
      <c r="J350" s="4">
        <f>VLOOKUP($A:$A,Sales!$B:$H,6,FALSE)</f>
        <v>45586</v>
      </c>
      <c r="K350" s="9">
        <f>VLOOKUP($A:$A,Sales!$B:$H,4,FALSE)</f>
        <v>5</v>
      </c>
      <c r="L350" s="5">
        <f t="shared" si="5"/>
        <v>89545</v>
      </c>
    </row>
    <row r="351" spans="1:12" x14ac:dyDescent="0.3">
      <c r="A351">
        <v>1285</v>
      </c>
      <c r="B351">
        <v>2024</v>
      </c>
      <c r="C351">
        <v>3027</v>
      </c>
      <c r="D351" t="str">
        <f>VLOOKUP('Sales table'!$A:$A,Customers!$A:$H,2,FALSE)</f>
        <v>Deborah Hill</v>
      </c>
      <c r="E351">
        <f>VLOOKUP('Sales table'!$A:$A,Customers!$A:$H,4,FALSE)</f>
        <v>47</v>
      </c>
      <c r="F351" t="str">
        <f>VLOOKUP('Sales table'!$A:$A,Customers!$A:$H,5,FALSE)</f>
        <v>Delhi</v>
      </c>
      <c r="G351" t="str">
        <f>VLOOKUP($B:$B,Products!$A:$D,2,FALSE)</f>
        <v>Perfume Gift Set</v>
      </c>
      <c r="H351" t="str">
        <f>VLOOKUP($B:$B,Products!$A:$D,3,FALSE)</f>
        <v>Accessories</v>
      </c>
      <c r="I351">
        <f>VLOOKUP($B:$B,Products!$A:$D,4,FALSE)</f>
        <v>16272</v>
      </c>
      <c r="J351" s="4">
        <f>VLOOKUP($A:$A,Sales!$B:$H,6,FALSE)</f>
        <v>45603</v>
      </c>
      <c r="K351" s="9">
        <f>VLOOKUP($A:$A,Sales!$B:$H,4,FALSE)</f>
        <v>4</v>
      </c>
      <c r="L351" s="5">
        <f t="shared" si="5"/>
        <v>65088</v>
      </c>
    </row>
    <row r="352" spans="1:12" x14ac:dyDescent="0.3">
      <c r="A352">
        <v>1275</v>
      </c>
      <c r="B352">
        <v>2003</v>
      </c>
      <c r="C352">
        <v>3015</v>
      </c>
      <c r="D352" t="str">
        <f>VLOOKUP('Sales table'!$A:$A,Customers!$A:$H,2,FALSE)</f>
        <v>George Newton</v>
      </c>
      <c r="E352">
        <f>VLOOKUP('Sales table'!$A:$A,Customers!$A:$H,4,FALSE)</f>
        <v>43</v>
      </c>
      <c r="F352" t="str">
        <f>VLOOKUP('Sales table'!$A:$A,Customers!$A:$H,5,FALSE)</f>
        <v>Hyderabad</v>
      </c>
      <c r="G352" t="str">
        <f>VLOOKUP($B:$B,Products!$A:$D,2,FALSE)</f>
        <v>Kurta</v>
      </c>
      <c r="H352" t="str">
        <f>VLOOKUP($B:$B,Products!$A:$D,3,FALSE)</f>
        <v>Clothing</v>
      </c>
      <c r="I352">
        <f>VLOOKUP($B:$B,Products!$A:$D,4,FALSE)</f>
        <v>13241</v>
      </c>
      <c r="J352" s="4">
        <f>VLOOKUP($A:$A,Sales!$B:$H,6,FALSE)</f>
        <v>45587</v>
      </c>
      <c r="K352" s="9">
        <f>VLOOKUP($A:$A,Sales!$B:$H,4,FALSE)</f>
        <v>2</v>
      </c>
      <c r="L352" s="5">
        <f t="shared" si="5"/>
        <v>26482</v>
      </c>
    </row>
    <row r="353" spans="1:12" x14ac:dyDescent="0.3">
      <c r="A353">
        <v>1002</v>
      </c>
      <c r="B353">
        <v>2012</v>
      </c>
      <c r="C353">
        <v>3022</v>
      </c>
      <c r="D353" t="str">
        <f>VLOOKUP('Sales table'!$A:$A,Customers!$A:$H,2,FALSE)</f>
        <v>Scott Chen</v>
      </c>
      <c r="E353">
        <f>VLOOKUP('Sales table'!$A:$A,Customers!$A:$H,4,FALSE)</f>
        <v>21</v>
      </c>
      <c r="F353" t="str">
        <f>VLOOKUP('Sales table'!$A:$A,Customers!$A:$H,5,FALSE)</f>
        <v>Mumbai</v>
      </c>
      <c r="G353" t="str">
        <f>VLOOKUP($B:$B,Products!$A:$D,2,FALSE)</f>
        <v>Wall Hanging</v>
      </c>
      <c r="H353" t="str">
        <f>VLOOKUP($B:$B,Products!$A:$D,3,FALSE)</f>
        <v>Home Decor</v>
      </c>
      <c r="I353">
        <f>VLOOKUP($B:$B,Products!$A:$D,4,FALSE)</f>
        <v>11867</v>
      </c>
      <c r="J353" s="4">
        <f>VLOOKUP($A:$A,Sales!$B:$H,6,FALSE)</f>
        <v>45598</v>
      </c>
      <c r="K353" s="9">
        <f>VLOOKUP($A:$A,Sales!$B:$H,4,FALSE)</f>
        <v>5</v>
      </c>
      <c r="L353" s="5">
        <f t="shared" si="5"/>
        <v>59335</v>
      </c>
    </row>
    <row r="354" spans="1:12" x14ac:dyDescent="0.3">
      <c r="A354">
        <v>1265</v>
      </c>
      <c r="B354">
        <v>2025</v>
      </c>
      <c r="C354">
        <v>3028</v>
      </c>
      <c r="D354" t="str">
        <f>VLOOKUP('Sales table'!$A:$A,Customers!$A:$H,2,FALSE)</f>
        <v>Cynthia Chen</v>
      </c>
      <c r="E354">
        <f>VLOOKUP('Sales table'!$A:$A,Customers!$A:$H,4,FALSE)</f>
        <v>30</v>
      </c>
      <c r="F354" t="str">
        <f>VLOOKUP('Sales table'!$A:$A,Customers!$A:$H,5,FALSE)</f>
        <v>Mumbai</v>
      </c>
      <c r="G354" t="str">
        <f>VLOOKUP($B:$B,Products!$A:$D,2,FALSE)</f>
        <v>Handbag</v>
      </c>
      <c r="H354" t="str">
        <f>VLOOKUP($B:$B,Products!$A:$D,3,FALSE)</f>
        <v>Accessories</v>
      </c>
      <c r="I354">
        <f>VLOOKUP($B:$B,Products!$A:$D,4,FALSE)</f>
        <v>17019</v>
      </c>
      <c r="J354" s="4">
        <f>VLOOKUP($A:$A,Sales!$B:$H,6,FALSE)</f>
        <v>45602</v>
      </c>
      <c r="K354" s="9">
        <f>VLOOKUP($A:$A,Sales!$B:$H,4,FALSE)</f>
        <v>2</v>
      </c>
      <c r="L354" s="5">
        <f t="shared" si="5"/>
        <v>34038</v>
      </c>
    </row>
    <row r="355" spans="1:12" x14ac:dyDescent="0.3">
      <c r="A355">
        <v>1203</v>
      </c>
      <c r="B355">
        <v>2005</v>
      </c>
      <c r="C355">
        <v>3022</v>
      </c>
      <c r="D355" t="str">
        <f>VLOOKUP('Sales table'!$A:$A,Customers!$A:$H,2,FALSE)</f>
        <v>Jennifer Johnston</v>
      </c>
      <c r="E355">
        <f>VLOOKUP('Sales table'!$A:$A,Customers!$A:$H,4,FALSE)</f>
        <v>40</v>
      </c>
      <c r="F355" t="str">
        <f>VLOOKUP('Sales table'!$A:$A,Customers!$A:$H,5,FALSE)</f>
        <v>Bangalore</v>
      </c>
      <c r="G355" t="str">
        <f>VLOOKUP($B:$B,Products!$A:$D,2,FALSE)</f>
        <v>LED Lamp</v>
      </c>
      <c r="H355" t="str">
        <f>VLOOKUP($B:$B,Products!$A:$D,3,FALSE)</f>
        <v>Home Decor</v>
      </c>
      <c r="I355">
        <f>VLOOKUP($B:$B,Products!$A:$D,4,FALSE)</f>
        <v>3828</v>
      </c>
      <c r="J355" s="4">
        <f>VLOOKUP($A:$A,Sales!$B:$H,6,FALSE)</f>
        <v>45597</v>
      </c>
      <c r="K355" s="9">
        <f>VLOOKUP($A:$A,Sales!$B:$H,4,FALSE)</f>
        <v>1</v>
      </c>
      <c r="L355" s="5">
        <f t="shared" si="5"/>
        <v>3828</v>
      </c>
    </row>
    <row r="356" spans="1:12" x14ac:dyDescent="0.3">
      <c r="A356">
        <v>1035</v>
      </c>
      <c r="B356">
        <v>2003</v>
      </c>
      <c r="C356">
        <v>3034</v>
      </c>
      <c r="D356" t="str">
        <f>VLOOKUP('Sales table'!$A:$A,Customers!$A:$H,2,FALSE)</f>
        <v>Debra Robinson</v>
      </c>
      <c r="E356">
        <f>VLOOKUP('Sales table'!$A:$A,Customers!$A:$H,4,FALSE)</f>
        <v>39</v>
      </c>
      <c r="F356" t="str">
        <f>VLOOKUP('Sales table'!$A:$A,Customers!$A:$H,5,FALSE)</f>
        <v>Bangalore</v>
      </c>
      <c r="G356" t="str">
        <f>VLOOKUP($B:$B,Products!$A:$D,2,FALSE)</f>
        <v>Kurta</v>
      </c>
      <c r="H356" t="str">
        <f>VLOOKUP($B:$B,Products!$A:$D,3,FALSE)</f>
        <v>Clothing</v>
      </c>
      <c r="I356">
        <f>VLOOKUP($B:$B,Products!$A:$D,4,FALSE)</f>
        <v>13241</v>
      </c>
      <c r="J356" s="4">
        <f>VLOOKUP($A:$A,Sales!$B:$H,6,FALSE)</f>
        <v>45610</v>
      </c>
      <c r="K356" s="9">
        <f>VLOOKUP($A:$A,Sales!$B:$H,4,FALSE)</f>
        <v>4</v>
      </c>
      <c r="L356" s="5">
        <f t="shared" si="5"/>
        <v>52964</v>
      </c>
    </row>
    <row r="357" spans="1:12" x14ac:dyDescent="0.3">
      <c r="A357">
        <v>1130</v>
      </c>
      <c r="B357">
        <v>2009</v>
      </c>
      <c r="C357">
        <v>3015</v>
      </c>
      <c r="D357" t="str">
        <f>VLOOKUP('Sales table'!$A:$A,Customers!$A:$H,2,FALSE)</f>
        <v>Nicole Wilson</v>
      </c>
      <c r="E357">
        <f>VLOOKUP('Sales table'!$A:$A,Customers!$A:$H,4,FALSE)</f>
        <v>19</v>
      </c>
      <c r="F357" t="str">
        <f>VLOOKUP('Sales table'!$A:$A,Customers!$A:$H,5,FALSE)</f>
        <v>Chennai</v>
      </c>
      <c r="G357" t="str">
        <f>VLOOKUP($B:$B,Products!$A:$D,2,FALSE)</f>
        <v>Bluetooth Speaker</v>
      </c>
      <c r="H357" t="str">
        <f>VLOOKUP($B:$B,Products!$A:$D,3,FALSE)</f>
        <v>Electronics</v>
      </c>
      <c r="I357">
        <f>VLOOKUP($B:$B,Products!$A:$D,4,FALSE)</f>
        <v>11047</v>
      </c>
      <c r="J357" s="4">
        <f>VLOOKUP($A:$A,Sales!$B:$H,6,FALSE)</f>
        <v>45592</v>
      </c>
      <c r="K357" s="9">
        <f>VLOOKUP($A:$A,Sales!$B:$H,4,FALSE)</f>
        <v>4</v>
      </c>
      <c r="L357" s="5">
        <f t="shared" si="5"/>
        <v>44188</v>
      </c>
    </row>
    <row r="358" spans="1:12" x14ac:dyDescent="0.3">
      <c r="A358">
        <v>1016</v>
      </c>
      <c r="B358">
        <v>2024</v>
      </c>
      <c r="C358">
        <v>3020</v>
      </c>
      <c r="D358" t="str">
        <f>VLOOKUP('Sales table'!$A:$A,Customers!$A:$H,2,FALSE)</f>
        <v>Ashley Wright</v>
      </c>
      <c r="E358">
        <f>VLOOKUP('Sales table'!$A:$A,Customers!$A:$H,4,FALSE)</f>
        <v>41</v>
      </c>
      <c r="F358" t="str">
        <f>VLOOKUP('Sales table'!$A:$A,Customers!$A:$H,5,FALSE)</f>
        <v>Hyderabad</v>
      </c>
      <c r="G358" t="str">
        <f>VLOOKUP($B:$B,Products!$A:$D,2,FALSE)</f>
        <v>Perfume Gift Set</v>
      </c>
      <c r="H358" t="str">
        <f>VLOOKUP($B:$B,Products!$A:$D,3,FALSE)</f>
        <v>Accessories</v>
      </c>
      <c r="I358">
        <f>VLOOKUP($B:$B,Products!$A:$D,4,FALSE)</f>
        <v>16272</v>
      </c>
      <c r="J358" s="4">
        <f>VLOOKUP($A:$A,Sales!$B:$H,6,FALSE)</f>
        <v>45585</v>
      </c>
      <c r="K358" s="9">
        <f>VLOOKUP($A:$A,Sales!$B:$H,4,FALSE)</f>
        <v>2</v>
      </c>
      <c r="L358" s="5">
        <f t="shared" si="5"/>
        <v>32544</v>
      </c>
    </row>
    <row r="359" spans="1:12" x14ac:dyDescent="0.3">
      <c r="A359">
        <v>1290</v>
      </c>
      <c r="B359">
        <v>2017</v>
      </c>
      <c r="C359">
        <v>3012</v>
      </c>
      <c r="D359" t="str">
        <f>VLOOKUP('Sales table'!$A:$A,Customers!$A:$H,2,FALSE)</f>
        <v>James Mclean</v>
      </c>
      <c r="E359">
        <f>VLOOKUP('Sales table'!$A:$A,Customers!$A:$H,4,FALSE)</f>
        <v>19</v>
      </c>
      <c r="F359" t="str">
        <f>VLOOKUP('Sales table'!$A:$A,Customers!$A:$H,5,FALSE)</f>
        <v>Chennai</v>
      </c>
      <c r="G359" t="str">
        <f>VLOOKUP($B:$B,Products!$A:$D,2,FALSE)</f>
        <v>Handmade Pottery</v>
      </c>
      <c r="H359" t="str">
        <f>VLOOKUP($B:$B,Products!$A:$D,3,FALSE)</f>
        <v>Home Decor</v>
      </c>
      <c r="I359">
        <f>VLOOKUP($B:$B,Products!$A:$D,4,FALSE)</f>
        <v>8186</v>
      </c>
      <c r="J359" s="4">
        <f>VLOOKUP($A:$A,Sales!$B:$H,6,FALSE)</f>
        <v>45613</v>
      </c>
      <c r="K359" s="9">
        <f>VLOOKUP($A:$A,Sales!$B:$H,4,FALSE)</f>
        <v>4</v>
      </c>
      <c r="L359" s="5">
        <f t="shared" si="5"/>
        <v>32744</v>
      </c>
    </row>
    <row r="360" spans="1:12" x14ac:dyDescent="0.3">
      <c r="A360">
        <v>1217</v>
      </c>
      <c r="B360">
        <v>2008</v>
      </c>
      <c r="C360">
        <v>3003</v>
      </c>
      <c r="D360" t="str">
        <f>VLOOKUP('Sales table'!$A:$A,Customers!$A:$H,2,FALSE)</f>
        <v>Lisa Kelly</v>
      </c>
      <c r="E360">
        <f>VLOOKUP('Sales table'!$A:$A,Customers!$A:$H,4,FALSE)</f>
        <v>23</v>
      </c>
      <c r="F360" t="str">
        <f>VLOOKUP('Sales table'!$A:$A,Customers!$A:$H,5,FALSE)</f>
        <v>Mumbai</v>
      </c>
      <c r="G360" t="str">
        <f>VLOOKUP($B:$B,Products!$A:$D,2,FALSE)</f>
        <v>Earthen Diyas</v>
      </c>
      <c r="H360" t="str">
        <f>VLOOKUP($B:$B,Products!$A:$D,3,FALSE)</f>
        <v>Home Decor</v>
      </c>
      <c r="I360">
        <f>VLOOKUP($B:$B,Products!$A:$D,4,FALSE)</f>
        <v>2136</v>
      </c>
      <c r="J360" s="4">
        <f>VLOOKUP($A:$A,Sales!$B:$H,6,FALSE)</f>
        <v>45588</v>
      </c>
      <c r="K360" s="9">
        <f>VLOOKUP($A:$A,Sales!$B:$H,4,FALSE)</f>
        <v>1</v>
      </c>
      <c r="L360" s="5">
        <f t="shared" si="5"/>
        <v>2136</v>
      </c>
    </row>
    <row r="361" spans="1:12" x14ac:dyDescent="0.3">
      <c r="A361">
        <v>1121</v>
      </c>
      <c r="B361">
        <v>2010</v>
      </c>
      <c r="C361">
        <v>3018</v>
      </c>
      <c r="D361" t="str">
        <f>VLOOKUP('Sales table'!$A:$A,Customers!$A:$H,2,FALSE)</f>
        <v>Vincent Fuller</v>
      </c>
      <c r="E361">
        <f>VLOOKUP('Sales table'!$A:$A,Customers!$A:$H,4,FALSE)</f>
        <v>25</v>
      </c>
      <c r="F361" t="str">
        <f>VLOOKUP('Sales table'!$A:$A,Customers!$A:$H,5,FALSE)</f>
        <v>Delhi</v>
      </c>
      <c r="G361" t="str">
        <f>VLOOKUP($B:$B,Products!$A:$D,2,FALSE)</f>
        <v>Chocolate Box</v>
      </c>
      <c r="H361" t="str">
        <f>VLOOKUP($B:$B,Products!$A:$D,3,FALSE)</f>
        <v>Sweets &amp; Gifts</v>
      </c>
      <c r="I361">
        <f>VLOOKUP($B:$B,Products!$A:$D,4,FALSE)</f>
        <v>17909</v>
      </c>
      <c r="J361" s="4">
        <f>VLOOKUP($A:$A,Sales!$B:$H,6,FALSE)</f>
        <v>45577</v>
      </c>
      <c r="K361" s="9">
        <f>VLOOKUP($A:$A,Sales!$B:$H,4,FALSE)</f>
        <v>2</v>
      </c>
      <c r="L361" s="5">
        <f t="shared" si="5"/>
        <v>35818</v>
      </c>
    </row>
    <row r="362" spans="1:12" x14ac:dyDescent="0.3">
      <c r="A362">
        <v>1062</v>
      </c>
      <c r="B362">
        <v>2020</v>
      </c>
      <c r="C362">
        <v>3026</v>
      </c>
      <c r="D362" t="str">
        <f>VLOOKUP('Sales table'!$A:$A,Customers!$A:$H,2,FALSE)</f>
        <v>William Murphy</v>
      </c>
      <c r="E362">
        <f>VLOOKUP('Sales table'!$A:$A,Customers!$A:$H,4,FALSE)</f>
        <v>34</v>
      </c>
      <c r="F362" t="str">
        <f>VLOOKUP('Sales table'!$A:$A,Customers!$A:$H,5,FALSE)</f>
        <v>Chennai</v>
      </c>
      <c r="G362" t="str">
        <f>VLOOKUP($B:$B,Products!$A:$D,2,FALSE)</f>
        <v>Ethnic Jewelry</v>
      </c>
      <c r="H362" t="str">
        <f>VLOOKUP($B:$B,Products!$A:$D,3,FALSE)</f>
        <v>Precious Items</v>
      </c>
      <c r="I362">
        <f>VLOOKUP($B:$B,Products!$A:$D,4,FALSE)</f>
        <v>4495</v>
      </c>
      <c r="J362" s="4">
        <f>VLOOKUP($A:$A,Sales!$B:$H,6,FALSE)</f>
        <v>45590</v>
      </c>
      <c r="K362" s="9">
        <f>VLOOKUP($A:$A,Sales!$B:$H,4,FALSE)</f>
        <v>1</v>
      </c>
      <c r="L362" s="5">
        <f t="shared" si="5"/>
        <v>4495</v>
      </c>
    </row>
    <row r="363" spans="1:12" x14ac:dyDescent="0.3">
      <c r="A363">
        <v>1118</v>
      </c>
      <c r="B363">
        <v>2005</v>
      </c>
      <c r="C363">
        <v>3020</v>
      </c>
      <c r="D363" t="str">
        <f>VLOOKUP('Sales table'!$A:$A,Customers!$A:$H,2,FALSE)</f>
        <v>Jillian Khan</v>
      </c>
      <c r="E363">
        <f>VLOOKUP('Sales table'!$A:$A,Customers!$A:$H,4,FALSE)</f>
        <v>29</v>
      </c>
      <c r="F363" t="str">
        <f>VLOOKUP('Sales table'!$A:$A,Customers!$A:$H,5,FALSE)</f>
        <v>Pune</v>
      </c>
      <c r="G363" t="str">
        <f>VLOOKUP($B:$B,Products!$A:$D,2,FALSE)</f>
        <v>LED Lamp</v>
      </c>
      <c r="H363" t="str">
        <f>VLOOKUP($B:$B,Products!$A:$D,3,FALSE)</f>
        <v>Home Decor</v>
      </c>
      <c r="I363">
        <f>VLOOKUP($B:$B,Products!$A:$D,4,FALSE)</f>
        <v>3828</v>
      </c>
      <c r="J363" s="4">
        <f>VLOOKUP($A:$A,Sales!$B:$H,6,FALSE)</f>
        <v>45591</v>
      </c>
      <c r="K363" s="9">
        <f>VLOOKUP($A:$A,Sales!$B:$H,4,FALSE)</f>
        <v>3</v>
      </c>
      <c r="L363" s="5">
        <f t="shared" si="5"/>
        <v>11484</v>
      </c>
    </row>
    <row r="364" spans="1:12" x14ac:dyDescent="0.3">
      <c r="A364">
        <v>1200</v>
      </c>
      <c r="B364">
        <v>2003</v>
      </c>
      <c r="C364">
        <v>3014</v>
      </c>
      <c r="D364" t="str">
        <f>VLOOKUP('Sales table'!$A:$A,Customers!$A:$H,2,FALSE)</f>
        <v>Brian Campbell</v>
      </c>
      <c r="E364">
        <f>VLOOKUP('Sales table'!$A:$A,Customers!$A:$H,4,FALSE)</f>
        <v>28</v>
      </c>
      <c r="F364" t="str">
        <f>VLOOKUP('Sales table'!$A:$A,Customers!$A:$H,5,FALSE)</f>
        <v>Chennai</v>
      </c>
      <c r="G364" t="str">
        <f>VLOOKUP($B:$B,Products!$A:$D,2,FALSE)</f>
        <v>Kurta</v>
      </c>
      <c r="H364" t="str">
        <f>VLOOKUP($B:$B,Products!$A:$D,3,FALSE)</f>
        <v>Clothing</v>
      </c>
      <c r="I364">
        <f>VLOOKUP($B:$B,Products!$A:$D,4,FALSE)</f>
        <v>13241</v>
      </c>
      <c r="J364" s="4">
        <f>VLOOKUP($A:$A,Sales!$B:$H,6,FALSE)</f>
        <v>45581</v>
      </c>
      <c r="K364" s="9">
        <f>VLOOKUP($A:$A,Sales!$B:$H,4,FALSE)</f>
        <v>1</v>
      </c>
      <c r="L364" s="5">
        <f t="shared" si="5"/>
        <v>13241</v>
      </c>
    </row>
    <row r="365" spans="1:12" x14ac:dyDescent="0.3">
      <c r="A365">
        <v>1175</v>
      </c>
      <c r="B365">
        <v>2023</v>
      </c>
      <c r="C365">
        <v>3020</v>
      </c>
      <c r="D365" t="str">
        <f>VLOOKUP('Sales table'!$A:$A,Customers!$A:$H,2,FALSE)</f>
        <v>Jeffrey Smith</v>
      </c>
      <c r="E365">
        <f>VLOOKUP('Sales table'!$A:$A,Customers!$A:$H,4,FALSE)</f>
        <v>51</v>
      </c>
      <c r="F365" t="str">
        <f>VLOOKUP('Sales table'!$A:$A,Customers!$A:$H,5,FALSE)</f>
        <v>Kolkata</v>
      </c>
      <c r="G365" t="str">
        <f>VLOOKUP($B:$B,Products!$A:$D,2,FALSE)</f>
        <v>Kids Wear</v>
      </c>
      <c r="H365" t="str">
        <f>VLOOKUP($B:$B,Products!$A:$D,3,FALSE)</f>
        <v>Clothing</v>
      </c>
      <c r="I365">
        <f>VLOOKUP($B:$B,Products!$A:$D,4,FALSE)</f>
        <v>4794</v>
      </c>
      <c r="J365" s="4">
        <f>VLOOKUP($A:$A,Sales!$B:$H,6,FALSE)</f>
        <v>45611</v>
      </c>
      <c r="K365" s="9">
        <f>VLOOKUP($A:$A,Sales!$B:$H,4,FALSE)</f>
        <v>4</v>
      </c>
      <c r="L365" s="5">
        <f t="shared" si="5"/>
        <v>19176</v>
      </c>
    </row>
    <row r="366" spans="1:12" x14ac:dyDescent="0.3">
      <c r="A366">
        <v>1201</v>
      </c>
      <c r="B366">
        <v>2011</v>
      </c>
      <c r="C366">
        <v>3001</v>
      </c>
      <c r="D366" t="str">
        <f>VLOOKUP('Sales table'!$A:$A,Customers!$A:$H,2,FALSE)</f>
        <v>Chelsea Wade</v>
      </c>
      <c r="E366">
        <f>VLOOKUP('Sales table'!$A:$A,Customers!$A:$H,4,FALSE)</f>
        <v>34</v>
      </c>
      <c r="F366" t="str">
        <f>VLOOKUP('Sales table'!$A:$A,Customers!$A:$H,5,FALSE)</f>
        <v>Kolkata</v>
      </c>
      <c r="G366" t="str">
        <f>VLOOKUP($B:$B,Products!$A:$D,2,FALSE)</f>
        <v>Festive Thali</v>
      </c>
      <c r="H366" t="str">
        <f>VLOOKUP($B:$B,Products!$A:$D,3,FALSE)</f>
        <v>Other</v>
      </c>
      <c r="I366">
        <f>VLOOKUP($B:$B,Products!$A:$D,4,FALSE)</f>
        <v>7481</v>
      </c>
      <c r="J366" s="4">
        <f>VLOOKUP($A:$A,Sales!$B:$H,6,FALSE)</f>
        <v>45600</v>
      </c>
      <c r="K366" s="9">
        <f>VLOOKUP($A:$A,Sales!$B:$H,4,FALSE)</f>
        <v>5</v>
      </c>
      <c r="L366" s="5">
        <f t="shared" si="5"/>
        <v>37405</v>
      </c>
    </row>
    <row r="367" spans="1:12" x14ac:dyDescent="0.3">
      <c r="A367">
        <v>1233</v>
      </c>
      <c r="B367">
        <v>2021</v>
      </c>
      <c r="C367">
        <v>3030</v>
      </c>
      <c r="D367" t="str">
        <f>VLOOKUP('Sales table'!$A:$A,Customers!$A:$H,2,FALSE)</f>
        <v>Matthew Jennings</v>
      </c>
      <c r="E367">
        <f>VLOOKUP('Sales table'!$A:$A,Customers!$A:$H,4,FALSE)</f>
        <v>65</v>
      </c>
      <c r="F367" t="str">
        <f>VLOOKUP('Sales table'!$A:$A,Customers!$A:$H,5,FALSE)</f>
        <v>Bangalore</v>
      </c>
      <c r="G367" t="str">
        <f>VLOOKUP($B:$B,Products!$A:$D,2,FALSE)</f>
        <v>Smartwatch</v>
      </c>
      <c r="H367" t="str">
        <f>VLOOKUP($B:$B,Products!$A:$D,3,FALSE)</f>
        <v>Electronics</v>
      </c>
      <c r="I367">
        <f>VLOOKUP($B:$B,Products!$A:$D,4,FALSE)</f>
        <v>17586</v>
      </c>
      <c r="J367" s="4">
        <f>VLOOKUP($A:$A,Sales!$B:$H,6,FALSE)</f>
        <v>45593</v>
      </c>
      <c r="K367" s="9">
        <f>VLOOKUP($A:$A,Sales!$B:$H,4,FALSE)</f>
        <v>3</v>
      </c>
      <c r="L367" s="5">
        <f t="shared" si="5"/>
        <v>52758</v>
      </c>
    </row>
    <row r="368" spans="1:12" x14ac:dyDescent="0.3">
      <c r="A368">
        <v>1092</v>
      </c>
      <c r="B368">
        <v>2021</v>
      </c>
      <c r="C368">
        <v>3025</v>
      </c>
      <c r="D368" t="str">
        <f>VLOOKUP('Sales table'!$A:$A,Customers!$A:$H,2,FALSE)</f>
        <v>Joseph Thomas</v>
      </c>
      <c r="E368">
        <f>VLOOKUP('Sales table'!$A:$A,Customers!$A:$H,4,FALSE)</f>
        <v>23</v>
      </c>
      <c r="F368" t="str">
        <f>VLOOKUP('Sales table'!$A:$A,Customers!$A:$H,5,FALSE)</f>
        <v>Hyderabad</v>
      </c>
      <c r="G368" t="str">
        <f>VLOOKUP($B:$B,Products!$A:$D,2,FALSE)</f>
        <v>Smartwatch</v>
      </c>
      <c r="H368" t="str">
        <f>VLOOKUP($B:$B,Products!$A:$D,3,FALSE)</f>
        <v>Electronics</v>
      </c>
      <c r="I368">
        <f>VLOOKUP($B:$B,Products!$A:$D,4,FALSE)</f>
        <v>17586</v>
      </c>
      <c r="J368" s="4">
        <f>VLOOKUP($A:$A,Sales!$B:$H,6,FALSE)</f>
        <v>45611</v>
      </c>
      <c r="K368" s="9">
        <f>VLOOKUP($A:$A,Sales!$B:$H,4,FALSE)</f>
        <v>5</v>
      </c>
      <c r="L368" s="5">
        <f t="shared" si="5"/>
        <v>87930</v>
      </c>
    </row>
    <row r="369" spans="1:12" x14ac:dyDescent="0.3">
      <c r="A369">
        <v>1153</v>
      </c>
      <c r="B369">
        <v>2001</v>
      </c>
      <c r="C369">
        <v>3020</v>
      </c>
      <c r="D369" t="str">
        <f>VLOOKUP('Sales table'!$A:$A,Customers!$A:$H,2,FALSE)</f>
        <v>Stephanie Miller</v>
      </c>
      <c r="E369">
        <f>VLOOKUP('Sales table'!$A:$A,Customers!$A:$H,4,FALSE)</f>
        <v>38</v>
      </c>
      <c r="F369" t="str">
        <f>VLOOKUP('Sales table'!$A:$A,Customers!$A:$H,5,FALSE)</f>
        <v>Pune</v>
      </c>
      <c r="G369" t="str">
        <f>VLOOKUP($B:$B,Products!$A:$D,2,FALSE)</f>
        <v>Sweets Box</v>
      </c>
      <c r="H369" t="str">
        <f>VLOOKUP($B:$B,Products!$A:$D,3,FALSE)</f>
        <v>Sweets &amp; Gifts</v>
      </c>
      <c r="I369">
        <f>VLOOKUP($B:$B,Products!$A:$D,4,FALSE)</f>
        <v>7228</v>
      </c>
      <c r="J369" s="4">
        <f>VLOOKUP($A:$A,Sales!$B:$H,6,FALSE)</f>
        <v>45597</v>
      </c>
      <c r="K369" s="9">
        <f>VLOOKUP($A:$A,Sales!$B:$H,4,FALSE)</f>
        <v>2</v>
      </c>
      <c r="L369" s="5">
        <f t="shared" si="5"/>
        <v>14456</v>
      </c>
    </row>
    <row r="370" spans="1:12" x14ac:dyDescent="0.3">
      <c r="A370">
        <v>1274</v>
      </c>
      <c r="B370">
        <v>2002</v>
      </c>
      <c r="C370">
        <v>3007</v>
      </c>
      <c r="D370" t="str">
        <f>VLOOKUP('Sales table'!$A:$A,Customers!$A:$H,2,FALSE)</f>
        <v>Gregory Nichols</v>
      </c>
      <c r="E370">
        <f>VLOOKUP('Sales table'!$A:$A,Customers!$A:$H,4,FALSE)</f>
        <v>40</v>
      </c>
      <c r="F370" t="str">
        <f>VLOOKUP('Sales table'!$A:$A,Customers!$A:$H,5,FALSE)</f>
        <v>Mumbai</v>
      </c>
      <c r="G370" t="str">
        <f>VLOOKUP($B:$B,Products!$A:$D,2,FALSE)</f>
        <v>Saree</v>
      </c>
      <c r="H370" t="str">
        <f>VLOOKUP($B:$B,Products!$A:$D,3,FALSE)</f>
        <v>Clothing</v>
      </c>
      <c r="I370">
        <f>VLOOKUP($B:$B,Products!$A:$D,4,FALSE)</f>
        <v>9534</v>
      </c>
      <c r="J370" s="4">
        <f>VLOOKUP($A:$A,Sales!$B:$H,6,FALSE)</f>
        <v>45612</v>
      </c>
      <c r="K370" s="9">
        <f>VLOOKUP($A:$A,Sales!$B:$H,4,FALSE)</f>
        <v>2</v>
      </c>
      <c r="L370" s="5">
        <f t="shared" si="5"/>
        <v>19068</v>
      </c>
    </row>
    <row r="371" spans="1:12" x14ac:dyDescent="0.3">
      <c r="A371">
        <v>1045</v>
      </c>
      <c r="B371">
        <v>2025</v>
      </c>
      <c r="C371">
        <v>3017</v>
      </c>
      <c r="D371" t="str">
        <f>VLOOKUP('Sales table'!$A:$A,Customers!$A:$H,2,FALSE)</f>
        <v>Melanie Santana</v>
      </c>
      <c r="E371">
        <f>VLOOKUP('Sales table'!$A:$A,Customers!$A:$H,4,FALSE)</f>
        <v>62</v>
      </c>
      <c r="F371" t="str">
        <f>VLOOKUP('Sales table'!$A:$A,Customers!$A:$H,5,FALSE)</f>
        <v>Hyderabad</v>
      </c>
      <c r="G371" t="str">
        <f>VLOOKUP($B:$B,Products!$A:$D,2,FALSE)</f>
        <v>Handbag</v>
      </c>
      <c r="H371" t="str">
        <f>VLOOKUP($B:$B,Products!$A:$D,3,FALSE)</f>
        <v>Accessories</v>
      </c>
      <c r="I371">
        <f>VLOOKUP($B:$B,Products!$A:$D,4,FALSE)</f>
        <v>17019</v>
      </c>
      <c r="J371" s="4">
        <f>VLOOKUP($A:$A,Sales!$B:$H,6,FALSE)</f>
        <v>45594</v>
      </c>
      <c r="K371" s="9">
        <f>VLOOKUP($A:$A,Sales!$B:$H,4,FALSE)</f>
        <v>2</v>
      </c>
      <c r="L371" s="5">
        <f t="shared" si="5"/>
        <v>34038</v>
      </c>
    </row>
    <row r="372" spans="1:12" x14ac:dyDescent="0.3">
      <c r="A372">
        <v>1009</v>
      </c>
      <c r="B372">
        <v>2014</v>
      </c>
      <c r="C372">
        <v>3020</v>
      </c>
      <c r="D372" t="str">
        <f>VLOOKUP('Sales table'!$A:$A,Customers!$A:$H,2,FALSE)</f>
        <v>Kayla Long</v>
      </c>
      <c r="E372">
        <f>VLOOKUP('Sales table'!$A:$A,Customers!$A:$H,4,FALSE)</f>
        <v>57</v>
      </c>
      <c r="F372" t="str">
        <f>VLOOKUP('Sales table'!$A:$A,Customers!$A:$H,5,FALSE)</f>
        <v>Pune</v>
      </c>
      <c r="G372" t="str">
        <f>VLOOKUP($B:$B,Products!$A:$D,2,FALSE)</f>
        <v>Gold Coin</v>
      </c>
      <c r="H372" t="str">
        <f>VLOOKUP($B:$B,Products!$A:$D,3,FALSE)</f>
        <v>Precious Items</v>
      </c>
      <c r="I372">
        <f>VLOOKUP($B:$B,Products!$A:$D,4,FALSE)</f>
        <v>13823</v>
      </c>
      <c r="J372" s="4">
        <f>VLOOKUP($A:$A,Sales!$B:$H,6,FALSE)</f>
        <v>45601</v>
      </c>
      <c r="K372" s="9">
        <f>VLOOKUP($A:$A,Sales!$B:$H,4,FALSE)</f>
        <v>2</v>
      </c>
      <c r="L372" s="5">
        <f t="shared" si="5"/>
        <v>27646</v>
      </c>
    </row>
    <row r="373" spans="1:12" x14ac:dyDescent="0.3">
      <c r="A373">
        <v>1216</v>
      </c>
      <c r="B373">
        <v>2001</v>
      </c>
      <c r="C373">
        <v>3013</v>
      </c>
      <c r="D373" t="str">
        <f>VLOOKUP('Sales table'!$A:$A,Customers!$A:$H,2,FALSE)</f>
        <v>Michelle Greer</v>
      </c>
      <c r="E373">
        <f>VLOOKUP('Sales table'!$A:$A,Customers!$A:$H,4,FALSE)</f>
        <v>41</v>
      </c>
      <c r="F373" t="str">
        <f>VLOOKUP('Sales table'!$A:$A,Customers!$A:$H,5,FALSE)</f>
        <v>Kolkata</v>
      </c>
      <c r="G373" t="str">
        <f>VLOOKUP($B:$B,Products!$A:$D,2,FALSE)</f>
        <v>Sweets Box</v>
      </c>
      <c r="H373" t="str">
        <f>VLOOKUP($B:$B,Products!$A:$D,3,FALSE)</f>
        <v>Sweets &amp; Gifts</v>
      </c>
      <c r="I373">
        <f>VLOOKUP($B:$B,Products!$A:$D,4,FALSE)</f>
        <v>7228</v>
      </c>
      <c r="J373" s="4">
        <f>VLOOKUP($A:$A,Sales!$B:$H,6,FALSE)</f>
        <v>45576</v>
      </c>
      <c r="K373" s="9">
        <f>VLOOKUP($A:$A,Sales!$B:$H,4,FALSE)</f>
        <v>3</v>
      </c>
      <c r="L373" s="5">
        <f t="shared" si="5"/>
        <v>21684</v>
      </c>
    </row>
    <row r="374" spans="1:12" x14ac:dyDescent="0.3">
      <c r="A374">
        <v>1058</v>
      </c>
      <c r="B374">
        <v>2022</v>
      </c>
      <c r="C374">
        <v>3032</v>
      </c>
      <c r="D374" t="str">
        <f>VLOOKUP('Sales table'!$A:$A,Customers!$A:$H,2,FALSE)</f>
        <v>Jo Roberson</v>
      </c>
      <c r="E374">
        <f>VLOOKUP('Sales table'!$A:$A,Customers!$A:$H,4,FALSE)</f>
        <v>44</v>
      </c>
      <c r="F374" t="str">
        <f>VLOOKUP('Sales table'!$A:$A,Customers!$A:$H,5,FALSE)</f>
        <v>Chennai</v>
      </c>
      <c r="G374" t="str">
        <f>VLOOKUP($B:$B,Products!$A:$D,2,FALSE)</f>
        <v>Home Decor Statue</v>
      </c>
      <c r="H374" t="str">
        <f>VLOOKUP($B:$B,Products!$A:$D,3,FALSE)</f>
        <v>Home Decor</v>
      </c>
      <c r="I374">
        <f>VLOOKUP($B:$B,Products!$A:$D,4,FALSE)</f>
        <v>17149</v>
      </c>
      <c r="J374" s="4">
        <f>VLOOKUP($A:$A,Sales!$B:$H,6,FALSE)</f>
        <v>45580</v>
      </c>
      <c r="K374" s="9">
        <f>VLOOKUP($A:$A,Sales!$B:$H,4,FALSE)</f>
        <v>5</v>
      </c>
      <c r="L374" s="5">
        <f t="shared" si="5"/>
        <v>85745</v>
      </c>
    </row>
    <row r="375" spans="1:12" x14ac:dyDescent="0.3">
      <c r="A375">
        <v>1261</v>
      </c>
      <c r="B375">
        <v>2001</v>
      </c>
      <c r="C375">
        <v>3007</v>
      </c>
      <c r="D375" t="str">
        <f>VLOOKUP('Sales table'!$A:$A,Customers!$A:$H,2,FALSE)</f>
        <v>Ann Nelson Md</v>
      </c>
      <c r="E375">
        <f>VLOOKUP('Sales table'!$A:$A,Customers!$A:$H,4,FALSE)</f>
        <v>26</v>
      </c>
      <c r="F375" t="str">
        <f>VLOOKUP('Sales table'!$A:$A,Customers!$A:$H,5,FALSE)</f>
        <v>Hyderabad</v>
      </c>
      <c r="G375" t="str">
        <f>VLOOKUP($B:$B,Products!$A:$D,2,FALSE)</f>
        <v>Sweets Box</v>
      </c>
      <c r="H375" t="str">
        <f>VLOOKUP($B:$B,Products!$A:$D,3,FALSE)</f>
        <v>Sweets &amp; Gifts</v>
      </c>
      <c r="I375">
        <f>VLOOKUP($B:$B,Products!$A:$D,4,FALSE)</f>
        <v>7228</v>
      </c>
      <c r="J375" s="4">
        <f>VLOOKUP($A:$A,Sales!$B:$H,6,FALSE)</f>
        <v>45589</v>
      </c>
      <c r="K375" s="9">
        <f>VLOOKUP($A:$A,Sales!$B:$H,4,FALSE)</f>
        <v>1</v>
      </c>
      <c r="L375" s="5">
        <f t="shared" si="5"/>
        <v>7228</v>
      </c>
    </row>
    <row r="376" spans="1:12" x14ac:dyDescent="0.3">
      <c r="A376">
        <v>1198</v>
      </c>
      <c r="B376">
        <v>2021</v>
      </c>
      <c r="C376">
        <v>3021</v>
      </c>
      <c r="D376" t="str">
        <f>VLOOKUP('Sales table'!$A:$A,Customers!$A:$H,2,FALSE)</f>
        <v>Eric Lopez</v>
      </c>
      <c r="E376">
        <f>VLOOKUP('Sales table'!$A:$A,Customers!$A:$H,4,FALSE)</f>
        <v>60</v>
      </c>
      <c r="F376" t="str">
        <f>VLOOKUP('Sales table'!$A:$A,Customers!$A:$H,5,FALSE)</f>
        <v>Bangalore</v>
      </c>
      <c r="G376" t="str">
        <f>VLOOKUP($B:$B,Products!$A:$D,2,FALSE)</f>
        <v>Smartwatch</v>
      </c>
      <c r="H376" t="str">
        <f>VLOOKUP($B:$B,Products!$A:$D,3,FALSE)</f>
        <v>Electronics</v>
      </c>
      <c r="I376">
        <f>VLOOKUP($B:$B,Products!$A:$D,4,FALSE)</f>
        <v>17586</v>
      </c>
      <c r="J376" s="4">
        <f>VLOOKUP($A:$A,Sales!$B:$H,6,FALSE)</f>
        <v>45575</v>
      </c>
      <c r="K376" s="9">
        <f>VLOOKUP($A:$A,Sales!$B:$H,4,FALSE)</f>
        <v>1</v>
      </c>
      <c r="L376" s="5">
        <f t="shared" si="5"/>
        <v>17586</v>
      </c>
    </row>
    <row r="377" spans="1:12" x14ac:dyDescent="0.3">
      <c r="A377">
        <v>1208</v>
      </c>
      <c r="B377">
        <v>2024</v>
      </c>
      <c r="C377">
        <v>3001</v>
      </c>
      <c r="D377" t="str">
        <f>VLOOKUP('Sales table'!$A:$A,Customers!$A:$H,2,FALSE)</f>
        <v>Kelly Lee</v>
      </c>
      <c r="E377">
        <f>VLOOKUP('Sales table'!$A:$A,Customers!$A:$H,4,FALSE)</f>
        <v>47</v>
      </c>
      <c r="F377" t="str">
        <f>VLOOKUP('Sales table'!$A:$A,Customers!$A:$H,5,FALSE)</f>
        <v>Delhi</v>
      </c>
      <c r="G377" t="str">
        <f>VLOOKUP($B:$B,Products!$A:$D,2,FALSE)</f>
        <v>Perfume Gift Set</v>
      </c>
      <c r="H377" t="str">
        <f>VLOOKUP($B:$B,Products!$A:$D,3,FALSE)</f>
        <v>Accessories</v>
      </c>
      <c r="I377">
        <f>VLOOKUP($B:$B,Products!$A:$D,4,FALSE)</f>
        <v>16272</v>
      </c>
      <c r="J377" s="4">
        <f>VLOOKUP($A:$A,Sales!$B:$H,6,FALSE)</f>
        <v>45597</v>
      </c>
      <c r="K377" s="9">
        <f>VLOOKUP($A:$A,Sales!$B:$H,4,FALSE)</f>
        <v>3</v>
      </c>
      <c r="L377" s="5">
        <f t="shared" si="5"/>
        <v>48816</v>
      </c>
    </row>
    <row r="378" spans="1:12" x14ac:dyDescent="0.3">
      <c r="A378">
        <v>1149</v>
      </c>
      <c r="B378">
        <v>2011</v>
      </c>
      <c r="C378">
        <v>3033</v>
      </c>
      <c r="D378" t="str">
        <f>VLOOKUP('Sales table'!$A:$A,Customers!$A:$H,2,FALSE)</f>
        <v>Christopher Higgins</v>
      </c>
      <c r="E378">
        <f>VLOOKUP('Sales table'!$A:$A,Customers!$A:$H,4,FALSE)</f>
        <v>45</v>
      </c>
      <c r="F378" t="str">
        <f>VLOOKUP('Sales table'!$A:$A,Customers!$A:$H,5,FALSE)</f>
        <v>Delhi</v>
      </c>
      <c r="G378" t="str">
        <f>VLOOKUP($B:$B,Products!$A:$D,2,FALSE)</f>
        <v>Festive Thali</v>
      </c>
      <c r="H378" t="str">
        <f>VLOOKUP($B:$B,Products!$A:$D,3,FALSE)</f>
        <v>Other</v>
      </c>
      <c r="I378">
        <f>VLOOKUP($B:$B,Products!$A:$D,4,FALSE)</f>
        <v>7481</v>
      </c>
      <c r="J378" s="4">
        <f>VLOOKUP($A:$A,Sales!$B:$H,6,FALSE)</f>
        <v>45603</v>
      </c>
      <c r="K378" s="9">
        <f>VLOOKUP($A:$A,Sales!$B:$H,4,FALSE)</f>
        <v>4</v>
      </c>
      <c r="L378" s="5">
        <f t="shared" si="5"/>
        <v>29924</v>
      </c>
    </row>
    <row r="379" spans="1:12" x14ac:dyDescent="0.3">
      <c r="A379">
        <v>1093</v>
      </c>
      <c r="B379">
        <v>2012</v>
      </c>
      <c r="C379">
        <v>3009</v>
      </c>
      <c r="D379" t="str">
        <f>VLOOKUP('Sales table'!$A:$A,Customers!$A:$H,2,FALSE)</f>
        <v>John Martin</v>
      </c>
      <c r="E379">
        <f>VLOOKUP('Sales table'!$A:$A,Customers!$A:$H,4,FALSE)</f>
        <v>35</v>
      </c>
      <c r="F379" t="str">
        <f>VLOOKUP('Sales table'!$A:$A,Customers!$A:$H,5,FALSE)</f>
        <v>Hyderabad</v>
      </c>
      <c r="G379" t="str">
        <f>VLOOKUP($B:$B,Products!$A:$D,2,FALSE)</f>
        <v>Wall Hanging</v>
      </c>
      <c r="H379" t="str">
        <f>VLOOKUP($B:$B,Products!$A:$D,3,FALSE)</f>
        <v>Home Decor</v>
      </c>
      <c r="I379">
        <f>VLOOKUP($B:$B,Products!$A:$D,4,FALSE)</f>
        <v>11867</v>
      </c>
      <c r="J379" s="4">
        <f>VLOOKUP($A:$A,Sales!$B:$H,6,FALSE)</f>
        <v>45592</v>
      </c>
      <c r="K379" s="9">
        <f>VLOOKUP($A:$A,Sales!$B:$H,4,FALSE)</f>
        <v>4</v>
      </c>
      <c r="L379" s="5">
        <f t="shared" si="5"/>
        <v>47468</v>
      </c>
    </row>
    <row r="380" spans="1:12" x14ac:dyDescent="0.3">
      <c r="A380">
        <v>1184</v>
      </c>
      <c r="B380">
        <v>2014</v>
      </c>
      <c r="C380">
        <v>3026</v>
      </c>
      <c r="D380" t="str">
        <f>VLOOKUP('Sales table'!$A:$A,Customers!$A:$H,2,FALSE)</f>
        <v>Scott Short</v>
      </c>
      <c r="E380">
        <f>VLOOKUP('Sales table'!$A:$A,Customers!$A:$H,4,FALSE)</f>
        <v>41</v>
      </c>
      <c r="F380" t="str">
        <f>VLOOKUP('Sales table'!$A:$A,Customers!$A:$H,5,FALSE)</f>
        <v>Hyderabad</v>
      </c>
      <c r="G380" t="str">
        <f>VLOOKUP($B:$B,Products!$A:$D,2,FALSE)</f>
        <v>Gold Coin</v>
      </c>
      <c r="H380" t="str">
        <f>VLOOKUP($B:$B,Products!$A:$D,3,FALSE)</f>
        <v>Precious Items</v>
      </c>
      <c r="I380">
        <f>VLOOKUP($B:$B,Products!$A:$D,4,FALSE)</f>
        <v>13823</v>
      </c>
      <c r="J380" s="4">
        <f>VLOOKUP($A:$A,Sales!$B:$H,6,FALSE)</f>
        <v>45575</v>
      </c>
      <c r="K380" s="9">
        <f>VLOOKUP($A:$A,Sales!$B:$H,4,FALSE)</f>
        <v>1</v>
      </c>
      <c r="L380" s="5">
        <f t="shared" si="5"/>
        <v>13823</v>
      </c>
    </row>
    <row r="381" spans="1:12" x14ac:dyDescent="0.3">
      <c r="A381">
        <v>1174</v>
      </c>
      <c r="B381">
        <v>2003</v>
      </c>
      <c r="C381">
        <v>3003</v>
      </c>
      <c r="D381" t="str">
        <f>VLOOKUP('Sales table'!$A:$A,Customers!$A:$H,2,FALSE)</f>
        <v>Eric West</v>
      </c>
      <c r="E381">
        <f>VLOOKUP('Sales table'!$A:$A,Customers!$A:$H,4,FALSE)</f>
        <v>23</v>
      </c>
      <c r="F381" t="str">
        <f>VLOOKUP('Sales table'!$A:$A,Customers!$A:$H,5,FALSE)</f>
        <v>Hyderabad</v>
      </c>
      <c r="G381" t="str">
        <f>VLOOKUP($B:$B,Products!$A:$D,2,FALSE)</f>
        <v>Kurta</v>
      </c>
      <c r="H381" t="str">
        <f>VLOOKUP($B:$B,Products!$A:$D,3,FALSE)</f>
        <v>Clothing</v>
      </c>
      <c r="I381">
        <f>VLOOKUP($B:$B,Products!$A:$D,4,FALSE)</f>
        <v>13241</v>
      </c>
      <c r="J381" s="4">
        <f>VLOOKUP($A:$A,Sales!$B:$H,6,FALSE)</f>
        <v>45581</v>
      </c>
      <c r="K381" s="9">
        <f>VLOOKUP($A:$A,Sales!$B:$H,4,FALSE)</f>
        <v>3</v>
      </c>
      <c r="L381" s="5">
        <f t="shared" si="5"/>
        <v>39723</v>
      </c>
    </row>
    <row r="382" spans="1:12" x14ac:dyDescent="0.3">
      <c r="A382">
        <v>1083</v>
      </c>
      <c r="B382">
        <v>2001</v>
      </c>
      <c r="C382">
        <v>3004</v>
      </c>
      <c r="D382" t="str">
        <f>VLOOKUP('Sales table'!$A:$A,Customers!$A:$H,2,FALSE)</f>
        <v>James Barrera</v>
      </c>
      <c r="E382">
        <f>VLOOKUP('Sales table'!$A:$A,Customers!$A:$H,4,FALSE)</f>
        <v>31</v>
      </c>
      <c r="F382" t="str">
        <f>VLOOKUP('Sales table'!$A:$A,Customers!$A:$H,5,FALSE)</f>
        <v>Pune</v>
      </c>
      <c r="G382" t="str">
        <f>VLOOKUP($B:$B,Products!$A:$D,2,FALSE)</f>
        <v>Sweets Box</v>
      </c>
      <c r="H382" t="str">
        <f>VLOOKUP($B:$B,Products!$A:$D,3,FALSE)</f>
        <v>Sweets &amp; Gifts</v>
      </c>
      <c r="I382">
        <f>VLOOKUP($B:$B,Products!$A:$D,4,FALSE)</f>
        <v>7228</v>
      </c>
      <c r="J382" s="4">
        <f>VLOOKUP($A:$A,Sales!$B:$H,6,FALSE)</f>
        <v>45593</v>
      </c>
      <c r="K382" s="9">
        <f>VLOOKUP($A:$A,Sales!$B:$H,4,FALSE)</f>
        <v>4</v>
      </c>
      <c r="L382" s="5">
        <f t="shared" si="5"/>
        <v>28912</v>
      </c>
    </row>
    <row r="383" spans="1:12" x14ac:dyDescent="0.3">
      <c r="A383">
        <v>1131</v>
      </c>
      <c r="B383">
        <v>2019</v>
      </c>
      <c r="C383">
        <v>3003</v>
      </c>
      <c r="D383" t="str">
        <f>VLOOKUP('Sales table'!$A:$A,Customers!$A:$H,2,FALSE)</f>
        <v>Michael Fletcher</v>
      </c>
      <c r="E383">
        <f>VLOOKUP('Sales table'!$A:$A,Customers!$A:$H,4,FALSE)</f>
        <v>46</v>
      </c>
      <c r="F383" t="str">
        <f>VLOOKUP('Sales table'!$A:$A,Customers!$A:$H,5,FALSE)</f>
        <v>Delhi</v>
      </c>
      <c r="G383" t="str">
        <f>VLOOKUP($B:$B,Products!$A:$D,2,FALSE)</f>
        <v>Designer Kurti</v>
      </c>
      <c r="H383" t="str">
        <f>VLOOKUP($B:$B,Products!$A:$D,3,FALSE)</f>
        <v>Clothing</v>
      </c>
      <c r="I383">
        <f>VLOOKUP($B:$B,Products!$A:$D,4,FALSE)</f>
        <v>13620</v>
      </c>
      <c r="J383" s="4">
        <f>VLOOKUP($A:$A,Sales!$B:$H,6,FALSE)</f>
        <v>45607</v>
      </c>
      <c r="K383" s="9">
        <f>VLOOKUP($A:$A,Sales!$B:$H,4,FALSE)</f>
        <v>1</v>
      </c>
      <c r="L383" s="5">
        <f t="shared" si="5"/>
        <v>13620</v>
      </c>
    </row>
    <row r="384" spans="1:12" x14ac:dyDescent="0.3">
      <c r="A384">
        <v>1166</v>
      </c>
      <c r="B384">
        <v>2005</v>
      </c>
      <c r="C384">
        <v>3007</v>
      </c>
      <c r="D384" t="str">
        <f>VLOOKUP('Sales table'!$A:$A,Customers!$A:$H,2,FALSE)</f>
        <v>Susan Mooney</v>
      </c>
      <c r="E384">
        <f>VLOOKUP('Sales table'!$A:$A,Customers!$A:$H,4,FALSE)</f>
        <v>48</v>
      </c>
      <c r="F384" t="str">
        <f>VLOOKUP('Sales table'!$A:$A,Customers!$A:$H,5,FALSE)</f>
        <v>Delhi</v>
      </c>
      <c r="G384" t="str">
        <f>VLOOKUP($B:$B,Products!$A:$D,2,FALSE)</f>
        <v>LED Lamp</v>
      </c>
      <c r="H384" t="str">
        <f>VLOOKUP($B:$B,Products!$A:$D,3,FALSE)</f>
        <v>Home Decor</v>
      </c>
      <c r="I384">
        <f>VLOOKUP($B:$B,Products!$A:$D,4,FALSE)</f>
        <v>3828</v>
      </c>
      <c r="J384" s="4">
        <f>VLOOKUP($A:$A,Sales!$B:$H,6,FALSE)</f>
        <v>45581</v>
      </c>
      <c r="K384" s="9">
        <f>VLOOKUP($A:$A,Sales!$B:$H,4,FALSE)</f>
        <v>1</v>
      </c>
      <c r="L384" s="5">
        <f t="shared" si="5"/>
        <v>3828</v>
      </c>
    </row>
    <row r="385" spans="1:12" x14ac:dyDescent="0.3">
      <c r="A385">
        <v>1087</v>
      </c>
      <c r="B385">
        <v>2025</v>
      </c>
      <c r="C385">
        <v>3002</v>
      </c>
      <c r="D385" t="str">
        <f>VLOOKUP('Sales table'!$A:$A,Customers!$A:$H,2,FALSE)</f>
        <v>Jared Romero</v>
      </c>
      <c r="E385">
        <f>VLOOKUP('Sales table'!$A:$A,Customers!$A:$H,4,FALSE)</f>
        <v>26</v>
      </c>
      <c r="F385" t="str">
        <f>VLOOKUP('Sales table'!$A:$A,Customers!$A:$H,5,FALSE)</f>
        <v>Hyderabad</v>
      </c>
      <c r="G385" t="str">
        <f>VLOOKUP($B:$B,Products!$A:$D,2,FALSE)</f>
        <v>Handbag</v>
      </c>
      <c r="H385" t="str">
        <f>VLOOKUP($B:$B,Products!$A:$D,3,FALSE)</f>
        <v>Accessories</v>
      </c>
      <c r="I385">
        <f>VLOOKUP($B:$B,Products!$A:$D,4,FALSE)</f>
        <v>17019</v>
      </c>
      <c r="J385" s="4">
        <f>VLOOKUP($A:$A,Sales!$B:$H,6,FALSE)</f>
        <v>45601</v>
      </c>
      <c r="K385" s="9">
        <f>VLOOKUP($A:$A,Sales!$B:$H,4,FALSE)</f>
        <v>5</v>
      </c>
      <c r="L385" s="5">
        <f t="shared" si="5"/>
        <v>85095</v>
      </c>
    </row>
    <row r="386" spans="1:12" x14ac:dyDescent="0.3">
      <c r="A386">
        <v>1067</v>
      </c>
      <c r="B386">
        <v>2008</v>
      </c>
      <c r="C386">
        <v>3025</v>
      </c>
      <c r="D386" t="str">
        <f>VLOOKUP('Sales table'!$A:$A,Customers!$A:$H,2,FALSE)</f>
        <v>Carrie Landry</v>
      </c>
      <c r="E386">
        <f>VLOOKUP('Sales table'!$A:$A,Customers!$A:$H,4,FALSE)</f>
        <v>39</v>
      </c>
      <c r="F386" t="str">
        <f>VLOOKUP('Sales table'!$A:$A,Customers!$A:$H,5,FALSE)</f>
        <v>Bangalore</v>
      </c>
      <c r="G386" t="str">
        <f>VLOOKUP($B:$B,Products!$A:$D,2,FALSE)</f>
        <v>Earthen Diyas</v>
      </c>
      <c r="H386" t="str">
        <f>VLOOKUP($B:$B,Products!$A:$D,3,FALSE)</f>
        <v>Home Decor</v>
      </c>
      <c r="I386">
        <f>VLOOKUP($B:$B,Products!$A:$D,4,FALSE)</f>
        <v>2136</v>
      </c>
      <c r="J386" s="4">
        <f>VLOOKUP($A:$A,Sales!$B:$H,6,FALSE)</f>
        <v>45595</v>
      </c>
      <c r="K386" s="9">
        <f>VLOOKUP($A:$A,Sales!$B:$H,4,FALSE)</f>
        <v>5</v>
      </c>
      <c r="L386" s="5">
        <f t="shared" si="5"/>
        <v>10680</v>
      </c>
    </row>
    <row r="387" spans="1:12" x14ac:dyDescent="0.3">
      <c r="A387">
        <v>1286</v>
      </c>
      <c r="B387">
        <v>2011</v>
      </c>
      <c r="C387">
        <v>3006</v>
      </c>
      <c r="D387" t="str">
        <f>VLOOKUP('Sales table'!$A:$A,Customers!$A:$H,2,FALSE)</f>
        <v>Anthony Taylor</v>
      </c>
      <c r="E387">
        <f>VLOOKUP('Sales table'!$A:$A,Customers!$A:$H,4,FALSE)</f>
        <v>33</v>
      </c>
      <c r="F387" t="str">
        <f>VLOOKUP('Sales table'!$A:$A,Customers!$A:$H,5,FALSE)</f>
        <v>Mumbai</v>
      </c>
      <c r="G387" t="str">
        <f>VLOOKUP($B:$B,Products!$A:$D,2,FALSE)</f>
        <v>Festive Thali</v>
      </c>
      <c r="H387" t="str">
        <f>VLOOKUP($B:$B,Products!$A:$D,3,FALSE)</f>
        <v>Other</v>
      </c>
      <c r="I387">
        <f>VLOOKUP($B:$B,Products!$A:$D,4,FALSE)</f>
        <v>7481</v>
      </c>
      <c r="J387" s="4">
        <f>VLOOKUP($A:$A,Sales!$B:$H,6,FALSE)</f>
        <v>45595</v>
      </c>
      <c r="K387" s="9">
        <f>VLOOKUP($A:$A,Sales!$B:$H,4,FALSE)</f>
        <v>1</v>
      </c>
      <c r="L387" s="5">
        <f t="shared" ref="L387:L450" si="6">I387*K387</f>
        <v>7481</v>
      </c>
    </row>
    <row r="388" spans="1:12" x14ac:dyDescent="0.3">
      <c r="A388">
        <v>1197</v>
      </c>
      <c r="B388">
        <v>2021</v>
      </c>
      <c r="C388">
        <v>3022</v>
      </c>
      <c r="D388" t="str">
        <f>VLOOKUP('Sales table'!$A:$A,Customers!$A:$H,2,FALSE)</f>
        <v>Daniel Price</v>
      </c>
      <c r="E388">
        <f>VLOOKUP('Sales table'!$A:$A,Customers!$A:$H,4,FALSE)</f>
        <v>25</v>
      </c>
      <c r="F388" t="str">
        <f>VLOOKUP('Sales table'!$A:$A,Customers!$A:$H,5,FALSE)</f>
        <v>Kolkata</v>
      </c>
      <c r="G388" t="str">
        <f>VLOOKUP($B:$B,Products!$A:$D,2,FALSE)</f>
        <v>Smartwatch</v>
      </c>
      <c r="H388" t="str">
        <f>VLOOKUP($B:$B,Products!$A:$D,3,FALSE)</f>
        <v>Electronics</v>
      </c>
      <c r="I388">
        <f>VLOOKUP($B:$B,Products!$A:$D,4,FALSE)</f>
        <v>17586</v>
      </c>
      <c r="J388" s="4">
        <f>VLOOKUP($A:$A,Sales!$B:$H,6,FALSE)</f>
        <v>45612</v>
      </c>
      <c r="K388" s="9">
        <f>VLOOKUP($A:$A,Sales!$B:$H,4,FALSE)</f>
        <v>5</v>
      </c>
      <c r="L388" s="5">
        <f t="shared" si="6"/>
        <v>87930</v>
      </c>
    </row>
    <row r="389" spans="1:12" x14ac:dyDescent="0.3">
      <c r="A389">
        <v>1221</v>
      </c>
      <c r="B389">
        <v>2020</v>
      </c>
      <c r="C389">
        <v>3009</v>
      </c>
      <c r="D389" t="str">
        <f>VLOOKUP('Sales table'!$A:$A,Customers!$A:$H,2,FALSE)</f>
        <v>Elizabeth Garcia</v>
      </c>
      <c r="E389">
        <f>VLOOKUP('Sales table'!$A:$A,Customers!$A:$H,4,FALSE)</f>
        <v>29</v>
      </c>
      <c r="F389" t="str">
        <f>VLOOKUP('Sales table'!$A:$A,Customers!$A:$H,5,FALSE)</f>
        <v>Chennai</v>
      </c>
      <c r="G389" t="str">
        <f>VLOOKUP($B:$B,Products!$A:$D,2,FALSE)</f>
        <v>Ethnic Jewelry</v>
      </c>
      <c r="H389" t="str">
        <f>VLOOKUP($B:$B,Products!$A:$D,3,FALSE)</f>
        <v>Precious Items</v>
      </c>
      <c r="I389">
        <f>VLOOKUP($B:$B,Products!$A:$D,4,FALSE)</f>
        <v>4495</v>
      </c>
      <c r="J389" s="4">
        <f>VLOOKUP($A:$A,Sales!$B:$H,6,FALSE)</f>
        <v>45597</v>
      </c>
      <c r="K389" s="9">
        <f>VLOOKUP($A:$A,Sales!$B:$H,4,FALSE)</f>
        <v>1</v>
      </c>
      <c r="L389" s="5">
        <f t="shared" si="6"/>
        <v>4495</v>
      </c>
    </row>
    <row r="390" spans="1:12" x14ac:dyDescent="0.3">
      <c r="A390">
        <v>1196</v>
      </c>
      <c r="B390">
        <v>2001</v>
      </c>
      <c r="C390">
        <v>3029</v>
      </c>
      <c r="D390" t="str">
        <f>VLOOKUP('Sales table'!$A:$A,Customers!$A:$H,2,FALSE)</f>
        <v>Cynthia Martin</v>
      </c>
      <c r="E390">
        <f>VLOOKUP('Sales table'!$A:$A,Customers!$A:$H,4,FALSE)</f>
        <v>20</v>
      </c>
      <c r="F390" t="str">
        <f>VLOOKUP('Sales table'!$A:$A,Customers!$A:$H,5,FALSE)</f>
        <v>Hyderabad</v>
      </c>
      <c r="G390" t="str">
        <f>VLOOKUP($B:$B,Products!$A:$D,2,FALSE)</f>
        <v>Sweets Box</v>
      </c>
      <c r="H390" t="str">
        <f>VLOOKUP($B:$B,Products!$A:$D,3,FALSE)</f>
        <v>Sweets &amp; Gifts</v>
      </c>
      <c r="I390">
        <f>VLOOKUP($B:$B,Products!$A:$D,4,FALSE)</f>
        <v>7228</v>
      </c>
      <c r="J390" s="4">
        <f>VLOOKUP($A:$A,Sales!$B:$H,6,FALSE)</f>
        <v>45611</v>
      </c>
      <c r="K390" s="9">
        <f>VLOOKUP($A:$A,Sales!$B:$H,4,FALSE)</f>
        <v>2</v>
      </c>
      <c r="L390" s="5">
        <f t="shared" si="6"/>
        <v>14456</v>
      </c>
    </row>
    <row r="391" spans="1:12" x14ac:dyDescent="0.3">
      <c r="A391">
        <v>1290</v>
      </c>
      <c r="B391">
        <v>2022</v>
      </c>
      <c r="C391">
        <v>3021</v>
      </c>
      <c r="D391" t="str">
        <f>VLOOKUP('Sales table'!$A:$A,Customers!$A:$H,2,FALSE)</f>
        <v>James Mclean</v>
      </c>
      <c r="E391">
        <f>VLOOKUP('Sales table'!$A:$A,Customers!$A:$H,4,FALSE)</f>
        <v>19</v>
      </c>
      <c r="F391" t="str">
        <f>VLOOKUP('Sales table'!$A:$A,Customers!$A:$H,5,FALSE)</f>
        <v>Chennai</v>
      </c>
      <c r="G391" t="str">
        <f>VLOOKUP($B:$B,Products!$A:$D,2,FALSE)</f>
        <v>Home Decor Statue</v>
      </c>
      <c r="H391" t="str">
        <f>VLOOKUP($B:$B,Products!$A:$D,3,FALSE)</f>
        <v>Home Decor</v>
      </c>
      <c r="I391">
        <f>VLOOKUP($B:$B,Products!$A:$D,4,FALSE)</f>
        <v>17149</v>
      </c>
      <c r="J391" s="4">
        <f>VLOOKUP($A:$A,Sales!$B:$H,6,FALSE)</f>
        <v>45613</v>
      </c>
      <c r="K391" s="9">
        <f>VLOOKUP($A:$A,Sales!$B:$H,4,FALSE)</f>
        <v>4</v>
      </c>
      <c r="L391" s="5">
        <f t="shared" si="6"/>
        <v>68596</v>
      </c>
    </row>
    <row r="392" spans="1:12" x14ac:dyDescent="0.3">
      <c r="A392">
        <v>1081</v>
      </c>
      <c r="B392">
        <v>2007</v>
      </c>
      <c r="C392">
        <v>3003</v>
      </c>
      <c r="D392" t="str">
        <f>VLOOKUP('Sales table'!$A:$A,Customers!$A:$H,2,FALSE)</f>
        <v>Lori Cox</v>
      </c>
      <c r="E392">
        <f>VLOOKUP('Sales table'!$A:$A,Customers!$A:$H,4,FALSE)</f>
        <v>59</v>
      </c>
      <c r="F392" t="str">
        <f>VLOOKUP('Sales table'!$A:$A,Customers!$A:$H,5,FALSE)</f>
        <v>Mumbai</v>
      </c>
      <c r="G392" t="str">
        <f>VLOOKUP($B:$B,Products!$A:$D,2,FALSE)</f>
        <v>Gift Hamper</v>
      </c>
      <c r="H392" t="str">
        <f>VLOOKUP($B:$B,Products!$A:$D,3,FALSE)</f>
        <v>Sweets &amp; Gifts</v>
      </c>
      <c r="I392">
        <f>VLOOKUP($B:$B,Products!$A:$D,4,FALSE)</f>
        <v>3412</v>
      </c>
      <c r="J392" s="4">
        <f>VLOOKUP($A:$A,Sales!$B:$H,6,FALSE)</f>
        <v>45598</v>
      </c>
      <c r="K392" s="9">
        <f>VLOOKUP($A:$A,Sales!$B:$H,4,FALSE)</f>
        <v>4</v>
      </c>
      <c r="L392" s="5">
        <f t="shared" si="6"/>
        <v>13648</v>
      </c>
    </row>
    <row r="393" spans="1:12" x14ac:dyDescent="0.3">
      <c r="A393">
        <v>1110</v>
      </c>
      <c r="B393">
        <v>2021</v>
      </c>
      <c r="C393">
        <v>3011</v>
      </c>
      <c r="D393" t="str">
        <f>VLOOKUP('Sales table'!$A:$A,Customers!$A:$H,2,FALSE)</f>
        <v>Michelle Hardin</v>
      </c>
      <c r="E393">
        <f>VLOOKUP('Sales table'!$A:$A,Customers!$A:$H,4,FALSE)</f>
        <v>64</v>
      </c>
      <c r="F393" t="str">
        <f>VLOOKUP('Sales table'!$A:$A,Customers!$A:$H,5,FALSE)</f>
        <v>Delhi</v>
      </c>
      <c r="G393" t="str">
        <f>VLOOKUP($B:$B,Products!$A:$D,2,FALSE)</f>
        <v>Smartwatch</v>
      </c>
      <c r="H393" t="str">
        <f>VLOOKUP($B:$B,Products!$A:$D,3,FALSE)</f>
        <v>Electronics</v>
      </c>
      <c r="I393">
        <f>VLOOKUP($B:$B,Products!$A:$D,4,FALSE)</f>
        <v>17586</v>
      </c>
      <c r="J393" s="4">
        <f>VLOOKUP($A:$A,Sales!$B:$H,6,FALSE)</f>
        <v>45583</v>
      </c>
      <c r="K393" s="9">
        <f>VLOOKUP($A:$A,Sales!$B:$H,4,FALSE)</f>
        <v>3</v>
      </c>
      <c r="L393" s="5">
        <f t="shared" si="6"/>
        <v>52758</v>
      </c>
    </row>
    <row r="394" spans="1:12" x14ac:dyDescent="0.3">
      <c r="A394">
        <v>1099</v>
      </c>
      <c r="B394">
        <v>2008</v>
      </c>
      <c r="C394">
        <v>3019</v>
      </c>
      <c r="D394" t="str">
        <f>VLOOKUP('Sales table'!$A:$A,Customers!$A:$H,2,FALSE)</f>
        <v>Paul Chan</v>
      </c>
      <c r="E394">
        <f>VLOOKUP('Sales table'!$A:$A,Customers!$A:$H,4,FALSE)</f>
        <v>62</v>
      </c>
      <c r="F394" t="str">
        <f>VLOOKUP('Sales table'!$A:$A,Customers!$A:$H,5,FALSE)</f>
        <v>Hyderabad</v>
      </c>
      <c r="G394" t="str">
        <f>VLOOKUP($B:$B,Products!$A:$D,2,FALSE)</f>
        <v>Earthen Diyas</v>
      </c>
      <c r="H394" t="str">
        <f>VLOOKUP($B:$B,Products!$A:$D,3,FALSE)</f>
        <v>Home Decor</v>
      </c>
      <c r="I394">
        <f>VLOOKUP($B:$B,Products!$A:$D,4,FALSE)</f>
        <v>2136</v>
      </c>
      <c r="J394" s="4">
        <f>VLOOKUP($A:$A,Sales!$B:$H,6,FALSE)</f>
        <v>45601</v>
      </c>
      <c r="K394" s="9">
        <f>VLOOKUP($A:$A,Sales!$B:$H,4,FALSE)</f>
        <v>5</v>
      </c>
      <c r="L394" s="5">
        <f t="shared" si="6"/>
        <v>10680</v>
      </c>
    </row>
    <row r="395" spans="1:12" x14ac:dyDescent="0.3">
      <c r="A395">
        <v>1263</v>
      </c>
      <c r="B395">
        <v>2002</v>
      </c>
      <c r="C395">
        <v>3022</v>
      </c>
      <c r="D395" t="str">
        <f>VLOOKUP('Sales table'!$A:$A,Customers!$A:$H,2,FALSE)</f>
        <v>Jordan Smith</v>
      </c>
      <c r="E395">
        <f>VLOOKUP('Sales table'!$A:$A,Customers!$A:$H,4,FALSE)</f>
        <v>38</v>
      </c>
      <c r="F395" t="str">
        <f>VLOOKUP('Sales table'!$A:$A,Customers!$A:$H,5,FALSE)</f>
        <v>Kolkata</v>
      </c>
      <c r="G395" t="str">
        <f>VLOOKUP($B:$B,Products!$A:$D,2,FALSE)</f>
        <v>Saree</v>
      </c>
      <c r="H395" t="str">
        <f>VLOOKUP($B:$B,Products!$A:$D,3,FALSE)</f>
        <v>Clothing</v>
      </c>
      <c r="I395">
        <f>VLOOKUP($B:$B,Products!$A:$D,4,FALSE)</f>
        <v>9534</v>
      </c>
      <c r="J395" s="4">
        <f>VLOOKUP($A:$A,Sales!$B:$H,6,FALSE)</f>
        <v>45581</v>
      </c>
      <c r="K395" s="9">
        <f>VLOOKUP($A:$A,Sales!$B:$H,4,FALSE)</f>
        <v>1</v>
      </c>
      <c r="L395" s="5">
        <f t="shared" si="6"/>
        <v>9534</v>
      </c>
    </row>
    <row r="396" spans="1:12" x14ac:dyDescent="0.3">
      <c r="A396">
        <v>1019</v>
      </c>
      <c r="B396">
        <v>2009</v>
      </c>
      <c r="C396">
        <v>3022</v>
      </c>
      <c r="D396" t="str">
        <f>VLOOKUP('Sales table'!$A:$A,Customers!$A:$H,2,FALSE)</f>
        <v>Brenda Dunn</v>
      </c>
      <c r="E396">
        <f>VLOOKUP('Sales table'!$A:$A,Customers!$A:$H,4,FALSE)</f>
        <v>23</v>
      </c>
      <c r="F396" t="str">
        <f>VLOOKUP('Sales table'!$A:$A,Customers!$A:$H,5,FALSE)</f>
        <v>Pune</v>
      </c>
      <c r="G396" t="str">
        <f>VLOOKUP($B:$B,Products!$A:$D,2,FALSE)</f>
        <v>Bluetooth Speaker</v>
      </c>
      <c r="H396" t="str">
        <f>VLOOKUP($B:$B,Products!$A:$D,3,FALSE)</f>
        <v>Electronics</v>
      </c>
      <c r="I396">
        <f>VLOOKUP($B:$B,Products!$A:$D,4,FALSE)</f>
        <v>11047</v>
      </c>
      <c r="J396" s="4">
        <f>VLOOKUP($A:$A,Sales!$B:$H,6,FALSE)</f>
        <v>45607</v>
      </c>
      <c r="K396" s="9">
        <f>VLOOKUP($A:$A,Sales!$B:$H,4,FALSE)</f>
        <v>3</v>
      </c>
      <c r="L396" s="5">
        <f t="shared" si="6"/>
        <v>33141</v>
      </c>
    </row>
    <row r="397" spans="1:12" x14ac:dyDescent="0.3">
      <c r="A397">
        <v>1151</v>
      </c>
      <c r="B397">
        <v>2012</v>
      </c>
      <c r="C397">
        <v>3033</v>
      </c>
      <c r="D397" t="str">
        <f>VLOOKUP('Sales table'!$A:$A,Customers!$A:$H,2,FALSE)</f>
        <v>Cynthia Simpson</v>
      </c>
      <c r="E397">
        <f>VLOOKUP('Sales table'!$A:$A,Customers!$A:$H,4,FALSE)</f>
        <v>58</v>
      </c>
      <c r="F397" t="str">
        <f>VLOOKUP('Sales table'!$A:$A,Customers!$A:$H,5,FALSE)</f>
        <v>Delhi</v>
      </c>
      <c r="G397" t="str">
        <f>VLOOKUP($B:$B,Products!$A:$D,2,FALSE)</f>
        <v>Wall Hanging</v>
      </c>
      <c r="H397" t="str">
        <f>VLOOKUP($B:$B,Products!$A:$D,3,FALSE)</f>
        <v>Home Decor</v>
      </c>
      <c r="I397">
        <f>VLOOKUP($B:$B,Products!$A:$D,4,FALSE)</f>
        <v>11867</v>
      </c>
      <c r="J397" s="4">
        <f>VLOOKUP($A:$A,Sales!$B:$H,6,FALSE)</f>
        <v>45581</v>
      </c>
      <c r="K397" s="9">
        <f>VLOOKUP($A:$A,Sales!$B:$H,4,FALSE)</f>
        <v>4</v>
      </c>
      <c r="L397" s="5">
        <f t="shared" si="6"/>
        <v>47468</v>
      </c>
    </row>
    <row r="398" spans="1:12" x14ac:dyDescent="0.3">
      <c r="A398">
        <v>1255</v>
      </c>
      <c r="B398">
        <v>2023</v>
      </c>
      <c r="C398">
        <v>3022</v>
      </c>
      <c r="D398" t="str">
        <f>VLOOKUP('Sales table'!$A:$A,Customers!$A:$H,2,FALSE)</f>
        <v>Sarah Day</v>
      </c>
      <c r="E398">
        <f>VLOOKUP('Sales table'!$A:$A,Customers!$A:$H,4,FALSE)</f>
        <v>48</v>
      </c>
      <c r="F398" t="str">
        <f>VLOOKUP('Sales table'!$A:$A,Customers!$A:$H,5,FALSE)</f>
        <v>Mumbai</v>
      </c>
      <c r="G398" t="str">
        <f>VLOOKUP($B:$B,Products!$A:$D,2,FALSE)</f>
        <v>Kids Wear</v>
      </c>
      <c r="H398" t="str">
        <f>VLOOKUP($B:$B,Products!$A:$D,3,FALSE)</f>
        <v>Clothing</v>
      </c>
      <c r="I398">
        <f>VLOOKUP($B:$B,Products!$A:$D,4,FALSE)</f>
        <v>4794</v>
      </c>
      <c r="J398" s="4">
        <f>VLOOKUP($A:$A,Sales!$B:$H,6,FALSE)</f>
        <v>45587</v>
      </c>
      <c r="K398" s="9">
        <f>VLOOKUP($A:$A,Sales!$B:$H,4,FALSE)</f>
        <v>4</v>
      </c>
      <c r="L398" s="5">
        <f t="shared" si="6"/>
        <v>19176</v>
      </c>
    </row>
    <row r="399" spans="1:12" x14ac:dyDescent="0.3">
      <c r="A399">
        <v>1214</v>
      </c>
      <c r="B399">
        <v>2003</v>
      </c>
      <c r="C399">
        <v>3018</v>
      </c>
      <c r="D399" t="str">
        <f>VLOOKUP('Sales table'!$A:$A,Customers!$A:$H,2,FALSE)</f>
        <v>Andrea Strickland</v>
      </c>
      <c r="E399">
        <f>VLOOKUP('Sales table'!$A:$A,Customers!$A:$H,4,FALSE)</f>
        <v>64</v>
      </c>
      <c r="F399" t="str">
        <f>VLOOKUP('Sales table'!$A:$A,Customers!$A:$H,5,FALSE)</f>
        <v>Pune</v>
      </c>
      <c r="G399" t="str">
        <f>VLOOKUP($B:$B,Products!$A:$D,2,FALSE)</f>
        <v>Kurta</v>
      </c>
      <c r="H399" t="str">
        <f>VLOOKUP($B:$B,Products!$A:$D,3,FALSE)</f>
        <v>Clothing</v>
      </c>
      <c r="I399">
        <f>VLOOKUP($B:$B,Products!$A:$D,4,FALSE)</f>
        <v>13241</v>
      </c>
      <c r="J399" s="4">
        <f>VLOOKUP($A:$A,Sales!$B:$H,6,FALSE)</f>
        <v>45600</v>
      </c>
      <c r="K399" s="9">
        <f>VLOOKUP($A:$A,Sales!$B:$H,4,FALSE)</f>
        <v>3</v>
      </c>
      <c r="L399" s="5">
        <f t="shared" si="6"/>
        <v>39723</v>
      </c>
    </row>
    <row r="400" spans="1:12" x14ac:dyDescent="0.3">
      <c r="A400">
        <v>1242</v>
      </c>
      <c r="B400">
        <v>2015</v>
      </c>
      <c r="C400">
        <v>3028</v>
      </c>
      <c r="D400" t="str">
        <f>VLOOKUP('Sales table'!$A:$A,Customers!$A:$H,2,FALSE)</f>
        <v>Julie Gonzalez</v>
      </c>
      <c r="E400">
        <f>VLOOKUP('Sales table'!$A:$A,Customers!$A:$H,4,FALSE)</f>
        <v>23</v>
      </c>
      <c r="F400" t="str">
        <f>VLOOKUP('Sales table'!$A:$A,Customers!$A:$H,5,FALSE)</f>
        <v>Mumbai</v>
      </c>
      <c r="G400" t="str">
        <f>VLOOKUP($B:$B,Products!$A:$D,2,FALSE)</f>
        <v>Candle Set</v>
      </c>
      <c r="H400" t="str">
        <f>VLOOKUP($B:$B,Products!$A:$D,3,FALSE)</f>
        <v>Home Decor</v>
      </c>
      <c r="I400">
        <f>VLOOKUP($B:$B,Products!$A:$D,4,FALSE)</f>
        <v>17604</v>
      </c>
      <c r="J400" s="4">
        <f>VLOOKUP($A:$A,Sales!$B:$H,6,FALSE)</f>
        <v>45577</v>
      </c>
      <c r="K400" s="9">
        <f>VLOOKUP($A:$A,Sales!$B:$H,4,FALSE)</f>
        <v>5</v>
      </c>
      <c r="L400" s="5">
        <f t="shared" si="6"/>
        <v>88020</v>
      </c>
    </row>
    <row r="401" spans="1:12" x14ac:dyDescent="0.3">
      <c r="A401">
        <v>1203</v>
      </c>
      <c r="B401">
        <v>2002</v>
      </c>
      <c r="C401">
        <v>3007</v>
      </c>
      <c r="D401" t="str">
        <f>VLOOKUP('Sales table'!$A:$A,Customers!$A:$H,2,FALSE)</f>
        <v>Jennifer Johnston</v>
      </c>
      <c r="E401">
        <f>VLOOKUP('Sales table'!$A:$A,Customers!$A:$H,4,FALSE)</f>
        <v>40</v>
      </c>
      <c r="F401" t="str">
        <f>VLOOKUP('Sales table'!$A:$A,Customers!$A:$H,5,FALSE)</f>
        <v>Bangalore</v>
      </c>
      <c r="G401" t="str">
        <f>VLOOKUP($B:$B,Products!$A:$D,2,FALSE)</f>
        <v>Saree</v>
      </c>
      <c r="H401" t="str">
        <f>VLOOKUP($B:$B,Products!$A:$D,3,FALSE)</f>
        <v>Clothing</v>
      </c>
      <c r="I401">
        <f>VLOOKUP($B:$B,Products!$A:$D,4,FALSE)</f>
        <v>9534</v>
      </c>
      <c r="J401" s="4">
        <f>VLOOKUP($A:$A,Sales!$B:$H,6,FALSE)</f>
        <v>45597</v>
      </c>
      <c r="K401" s="9">
        <f>VLOOKUP($A:$A,Sales!$B:$H,4,FALSE)</f>
        <v>1</v>
      </c>
      <c r="L401" s="5">
        <f t="shared" si="6"/>
        <v>9534</v>
      </c>
    </row>
    <row r="402" spans="1:12" x14ac:dyDescent="0.3">
      <c r="A402">
        <v>1082</v>
      </c>
      <c r="B402">
        <v>2006</v>
      </c>
      <c r="C402">
        <v>3017</v>
      </c>
      <c r="D402" t="str">
        <f>VLOOKUP('Sales table'!$A:$A,Customers!$A:$H,2,FALSE)</f>
        <v>Sharon Phillips</v>
      </c>
      <c r="E402">
        <f>VLOOKUP('Sales table'!$A:$A,Customers!$A:$H,4,FALSE)</f>
        <v>43</v>
      </c>
      <c r="F402" t="str">
        <f>VLOOKUP('Sales table'!$A:$A,Customers!$A:$H,5,FALSE)</f>
        <v>Bangalore</v>
      </c>
      <c r="G402" t="str">
        <f>VLOOKUP($B:$B,Products!$A:$D,2,FALSE)</f>
        <v>Crackers Pack</v>
      </c>
      <c r="H402" t="str">
        <f>VLOOKUP($B:$B,Products!$A:$D,3,FALSE)</f>
        <v>Crackers</v>
      </c>
      <c r="I402">
        <f>VLOOKUP($B:$B,Products!$A:$D,4,FALSE)</f>
        <v>12060</v>
      </c>
      <c r="J402" s="4">
        <f>VLOOKUP($A:$A,Sales!$B:$H,6,FALSE)</f>
        <v>45613</v>
      </c>
      <c r="K402" s="9">
        <f>VLOOKUP($A:$A,Sales!$B:$H,4,FALSE)</f>
        <v>5</v>
      </c>
      <c r="L402" s="5">
        <f t="shared" si="6"/>
        <v>60300</v>
      </c>
    </row>
    <row r="403" spans="1:12" x14ac:dyDescent="0.3">
      <c r="A403">
        <v>1113</v>
      </c>
      <c r="B403">
        <v>2023</v>
      </c>
      <c r="C403">
        <v>3019</v>
      </c>
      <c r="D403" t="str">
        <f>VLOOKUP('Sales table'!$A:$A,Customers!$A:$H,2,FALSE)</f>
        <v>Tyler Lozano</v>
      </c>
      <c r="E403">
        <f>VLOOKUP('Sales table'!$A:$A,Customers!$A:$H,4,FALSE)</f>
        <v>62</v>
      </c>
      <c r="F403" t="str">
        <f>VLOOKUP('Sales table'!$A:$A,Customers!$A:$H,5,FALSE)</f>
        <v>Chennai</v>
      </c>
      <c r="G403" t="str">
        <f>VLOOKUP($B:$B,Products!$A:$D,2,FALSE)</f>
        <v>Kids Wear</v>
      </c>
      <c r="H403" t="str">
        <f>VLOOKUP($B:$B,Products!$A:$D,3,FALSE)</f>
        <v>Clothing</v>
      </c>
      <c r="I403">
        <f>VLOOKUP($B:$B,Products!$A:$D,4,FALSE)</f>
        <v>4794</v>
      </c>
      <c r="J403" s="4">
        <f>VLOOKUP($A:$A,Sales!$B:$H,6,FALSE)</f>
        <v>45608</v>
      </c>
      <c r="K403" s="9">
        <f>VLOOKUP($A:$A,Sales!$B:$H,4,FALSE)</f>
        <v>1</v>
      </c>
      <c r="L403" s="5">
        <f t="shared" si="6"/>
        <v>4794</v>
      </c>
    </row>
    <row r="404" spans="1:12" x14ac:dyDescent="0.3">
      <c r="A404">
        <v>1215</v>
      </c>
      <c r="B404">
        <v>2020</v>
      </c>
      <c r="C404">
        <v>3015</v>
      </c>
      <c r="D404" t="str">
        <f>VLOOKUP('Sales table'!$A:$A,Customers!$A:$H,2,FALSE)</f>
        <v>Brent Murphy</v>
      </c>
      <c r="E404">
        <f>VLOOKUP('Sales table'!$A:$A,Customers!$A:$H,4,FALSE)</f>
        <v>57</v>
      </c>
      <c r="F404" t="str">
        <f>VLOOKUP('Sales table'!$A:$A,Customers!$A:$H,5,FALSE)</f>
        <v>Hyderabad</v>
      </c>
      <c r="G404" t="str">
        <f>VLOOKUP($B:$B,Products!$A:$D,2,FALSE)</f>
        <v>Ethnic Jewelry</v>
      </c>
      <c r="H404" t="str">
        <f>VLOOKUP($B:$B,Products!$A:$D,3,FALSE)</f>
        <v>Precious Items</v>
      </c>
      <c r="I404">
        <f>VLOOKUP($B:$B,Products!$A:$D,4,FALSE)</f>
        <v>4495</v>
      </c>
      <c r="J404" s="4">
        <f>VLOOKUP($A:$A,Sales!$B:$H,6,FALSE)</f>
        <v>45579</v>
      </c>
      <c r="K404" s="9">
        <f>VLOOKUP($A:$A,Sales!$B:$H,4,FALSE)</f>
        <v>2</v>
      </c>
      <c r="L404" s="5">
        <f t="shared" si="6"/>
        <v>8990</v>
      </c>
    </row>
    <row r="405" spans="1:12" x14ac:dyDescent="0.3">
      <c r="A405">
        <v>1198</v>
      </c>
      <c r="B405">
        <v>2006</v>
      </c>
      <c r="C405">
        <v>3002</v>
      </c>
      <c r="D405" t="str">
        <f>VLOOKUP('Sales table'!$A:$A,Customers!$A:$H,2,FALSE)</f>
        <v>Eric Lopez</v>
      </c>
      <c r="E405">
        <f>VLOOKUP('Sales table'!$A:$A,Customers!$A:$H,4,FALSE)</f>
        <v>60</v>
      </c>
      <c r="F405" t="str">
        <f>VLOOKUP('Sales table'!$A:$A,Customers!$A:$H,5,FALSE)</f>
        <v>Bangalore</v>
      </c>
      <c r="G405" t="str">
        <f>VLOOKUP($B:$B,Products!$A:$D,2,FALSE)</f>
        <v>Crackers Pack</v>
      </c>
      <c r="H405" t="str">
        <f>VLOOKUP($B:$B,Products!$A:$D,3,FALSE)</f>
        <v>Crackers</v>
      </c>
      <c r="I405">
        <f>VLOOKUP($B:$B,Products!$A:$D,4,FALSE)</f>
        <v>12060</v>
      </c>
      <c r="J405" s="4">
        <f>VLOOKUP($A:$A,Sales!$B:$H,6,FALSE)</f>
        <v>45575</v>
      </c>
      <c r="K405" s="9">
        <f>VLOOKUP($A:$A,Sales!$B:$H,4,FALSE)</f>
        <v>1</v>
      </c>
      <c r="L405" s="5">
        <f t="shared" si="6"/>
        <v>12060</v>
      </c>
    </row>
    <row r="406" spans="1:12" x14ac:dyDescent="0.3">
      <c r="A406">
        <v>1009</v>
      </c>
      <c r="B406">
        <v>2024</v>
      </c>
      <c r="C406">
        <v>3009</v>
      </c>
      <c r="D406" t="str">
        <f>VLOOKUP('Sales table'!$A:$A,Customers!$A:$H,2,FALSE)</f>
        <v>Kayla Long</v>
      </c>
      <c r="E406">
        <f>VLOOKUP('Sales table'!$A:$A,Customers!$A:$H,4,FALSE)</f>
        <v>57</v>
      </c>
      <c r="F406" t="str">
        <f>VLOOKUP('Sales table'!$A:$A,Customers!$A:$H,5,FALSE)</f>
        <v>Pune</v>
      </c>
      <c r="G406" t="str">
        <f>VLOOKUP($B:$B,Products!$A:$D,2,FALSE)</f>
        <v>Perfume Gift Set</v>
      </c>
      <c r="H406" t="str">
        <f>VLOOKUP($B:$B,Products!$A:$D,3,FALSE)</f>
        <v>Accessories</v>
      </c>
      <c r="I406">
        <f>VLOOKUP($B:$B,Products!$A:$D,4,FALSE)</f>
        <v>16272</v>
      </c>
      <c r="J406" s="4">
        <f>VLOOKUP($A:$A,Sales!$B:$H,6,FALSE)</f>
        <v>45601</v>
      </c>
      <c r="K406" s="9">
        <f>VLOOKUP($A:$A,Sales!$B:$H,4,FALSE)</f>
        <v>2</v>
      </c>
      <c r="L406" s="5">
        <f t="shared" si="6"/>
        <v>32544</v>
      </c>
    </row>
    <row r="407" spans="1:12" x14ac:dyDescent="0.3">
      <c r="A407">
        <v>1202</v>
      </c>
      <c r="B407">
        <v>2010</v>
      </c>
      <c r="C407">
        <v>3015</v>
      </c>
      <c r="D407" t="str">
        <f>VLOOKUP('Sales table'!$A:$A,Customers!$A:$H,2,FALSE)</f>
        <v>Bonnie Moreno</v>
      </c>
      <c r="E407">
        <f>VLOOKUP('Sales table'!$A:$A,Customers!$A:$H,4,FALSE)</f>
        <v>45</v>
      </c>
      <c r="F407" t="str">
        <f>VLOOKUP('Sales table'!$A:$A,Customers!$A:$H,5,FALSE)</f>
        <v>Mumbai</v>
      </c>
      <c r="G407" t="str">
        <f>VLOOKUP($B:$B,Products!$A:$D,2,FALSE)</f>
        <v>Chocolate Box</v>
      </c>
      <c r="H407" t="str">
        <f>VLOOKUP($B:$B,Products!$A:$D,3,FALSE)</f>
        <v>Sweets &amp; Gifts</v>
      </c>
      <c r="I407">
        <f>VLOOKUP($B:$B,Products!$A:$D,4,FALSE)</f>
        <v>17909</v>
      </c>
      <c r="J407" s="4">
        <f>VLOOKUP($A:$A,Sales!$B:$H,6,FALSE)</f>
        <v>45592</v>
      </c>
      <c r="K407" s="9">
        <f>VLOOKUP($A:$A,Sales!$B:$H,4,FALSE)</f>
        <v>1</v>
      </c>
      <c r="L407" s="5">
        <f t="shared" si="6"/>
        <v>17909</v>
      </c>
    </row>
    <row r="408" spans="1:12" x14ac:dyDescent="0.3">
      <c r="A408">
        <v>1183</v>
      </c>
      <c r="B408">
        <v>2014</v>
      </c>
      <c r="C408">
        <v>3033</v>
      </c>
      <c r="D408" t="str">
        <f>VLOOKUP('Sales table'!$A:$A,Customers!$A:$H,2,FALSE)</f>
        <v>Walter Griffin</v>
      </c>
      <c r="E408">
        <f>VLOOKUP('Sales table'!$A:$A,Customers!$A:$H,4,FALSE)</f>
        <v>20</v>
      </c>
      <c r="F408" t="str">
        <f>VLOOKUP('Sales table'!$A:$A,Customers!$A:$H,5,FALSE)</f>
        <v>Chennai</v>
      </c>
      <c r="G408" t="str">
        <f>VLOOKUP($B:$B,Products!$A:$D,2,FALSE)</f>
        <v>Gold Coin</v>
      </c>
      <c r="H408" t="str">
        <f>VLOOKUP($B:$B,Products!$A:$D,3,FALSE)</f>
        <v>Precious Items</v>
      </c>
      <c r="I408">
        <f>VLOOKUP($B:$B,Products!$A:$D,4,FALSE)</f>
        <v>13823</v>
      </c>
      <c r="J408" s="4">
        <f>VLOOKUP($A:$A,Sales!$B:$H,6,FALSE)</f>
        <v>45600</v>
      </c>
      <c r="K408" s="9">
        <f>VLOOKUP($A:$A,Sales!$B:$H,4,FALSE)</f>
        <v>5</v>
      </c>
      <c r="L408" s="5">
        <f t="shared" si="6"/>
        <v>69115</v>
      </c>
    </row>
    <row r="409" spans="1:12" x14ac:dyDescent="0.3">
      <c r="A409">
        <v>1060</v>
      </c>
      <c r="B409">
        <v>2024</v>
      </c>
      <c r="C409">
        <v>3021</v>
      </c>
      <c r="D409" t="str">
        <f>VLOOKUP('Sales table'!$A:$A,Customers!$A:$H,2,FALSE)</f>
        <v>Kayla Aguilar</v>
      </c>
      <c r="E409">
        <f>VLOOKUP('Sales table'!$A:$A,Customers!$A:$H,4,FALSE)</f>
        <v>27</v>
      </c>
      <c r="F409" t="str">
        <f>VLOOKUP('Sales table'!$A:$A,Customers!$A:$H,5,FALSE)</f>
        <v>Hyderabad</v>
      </c>
      <c r="G409" t="str">
        <f>VLOOKUP($B:$B,Products!$A:$D,2,FALSE)</f>
        <v>Perfume Gift Set</v>
      </c>
      <c r="H409" t="str">
        <f>VLOOKUP($B:$B,Products!$A:$D,3,FALSE)</f>
        <v>Accessories</v>
      </c>
      <c r="I409">
        <f>VLOOKUP($B:$B,Products!$A:$D,4,FALSE)</f>
        <v>16272</v>
      </c>
      <c r="J409" s="4">
        <f>VLOOKUP($A:$A,Sales!$B:$H,6,FALSE)</f>
        <v>45585</v>
      </c>
      <c r="K409" s="9">
        <f>VLOOKUP($A:$A,Sales!$B:$H,4,FALSE)</f>
        <v>5</v>
      </c>
      <c r="L409" s="5">
        <f t="shared" si="6"/>
        <v>81360</v>
      </c>
    </row>
    <row r="410" spans="1:12" x14ac:dyDescent="0.3">
      <c r="A410">
        <v>1039</v>
      </c>
      <c r="B410">
        <v>2007</v>
      </c>
      <c r="C410">
        <v>3018</v>
      </c>
      <c r="D410" t="str">
        <f>VLOOKUP('Sales table'!$A:$A,Customers!$A:$H,2,FALSE)</f>
        <v>Carol Allen</v>
      </c>
      <c r="E410">
        <f>VLOOKUP('Sales table'!$A:$A,Customers!$A:$H,4,FALSE)</f>
        <v>22</v>
      </c>
      <c r="F410" t="str">
        <f>VLOOKUP('Sales table'!$A:$A,Customers!$A:$H,5,FALSE)</f>
        <v>Bangalore</v>
      </c>
      <c r="G410" t="str">
        <f>VLOOKUP($B:$B,Products!$A:$D,2,FALSE)</f>
        <v>Gift Hamper</v>
      </c>
      <c r="H410" t="str">
        <f>VLOOKUP($B:$B,Products!$A:$D,3,FALSE)</f>
        <v>Sweets &amp; Gifts</v>
      </c>
      <c r="I410">
        <f>VLOOKUP($B:$B,Products!$A:$D,4,FALSE)</f>
        <v>3412</v>
      </c>
      <c r="J410" s="4">
        <f>VLOOKUP($A:$A,Sales!$B:$H,6,FALSE)</f>
        <v>45613</v>
      </c>
      <c r="K410" s="9">
        <f>VLOOKUP($A:$A,Sales!$B:$H,4,FALSE)</f>
        <v>1</v>
      </c>
      <c r="L410" s="5">
        <f t="shared" si="6"/>
        <v>3412</v>
      </c>
    </row>
    <row r="411" spans="1:12" x14ac:dyDescent="0.3">
      <c r="A411">
        <v>1034</v>
      </c>
      <c r="B411">
        <v>2006</v>
      </c>
      <c r="C411">
        <v>3001</v>
      </c>
      <c r="D411" t="str">
        <f>VLOOKUP('Sales table'!$A:$A,Customers!$A:$H,2,FALSE)</f>
        <v>Pamela Watson</v>
      </c>
      <c r="E411">
        <f>VLOOKUP('Sales table'!$A:$A,Customers!$A:$H,4,FALSE)</f>
        <v>25</v>
      </c>
      <c r="F411" t="str">
        <f>VLOOKUP('Sales table'!$A:$A,Customers!$A:$H,5,FALSE)</f>
        <v>Kolkata</v>
      </c>
      <c r="G411" t="str">
        <f>VLOOKUP($B:$B,Products!$A:$D,2,FALSE)</f>
        <v>Crackers Pack</v>
      </c>
      <c r="H411" t="str">
        <f>VLOOKUP($B:$B,Products!$A:$D,3,FALSE)</f>
        <v>Crackers</v>
      </c>
      <c r="I411">
        <f>VLOOKUP($B:$B,Products!$A:$D,4,FALSE)</f>
        <v>12060</v>
      </c>
      <c r="J411" s="4">
        <f>VLOOKUP($A:$A,Sales!$B:$H,6,FALSE)</f>
        <v>45603</v>
      </c>
      <c r="K411" s="9">
        <f>VLOOKUP($A:$A,Sales!$B:$H,4,FALSE)</f>
        <v>1</v>
      </c>
      <c r="L411" s="5">
        <f t="shared" si="6"/>
        <v>12060</v>
      </c>
    </row>
    <row r="412" spans="1:12" x14ac:dyDescent="0.3">
      <c r="A412">
        <v>1209</v>
      </c>
      <c r="B412">
        <v>2017</v>
      </c>
      <c r="C412">
        <v>3017</v>
      </c>
      <c r="D412" t="str">
        <f>VLOOKUP('Sales table'!$A:$A,Customers!$A:$H,2,FALSE)</f>
        <v>Emily Rodriguez</v>
      </c>
      <c r="E412">
        <f>VLOOKUP('Sales table'!$A:$A,Customers!$A:$H,4,FALSE)</f>
        <v>20</v>
      </c>
      <c r="F412" t="str">
        <f>VLOOKUP('Sales table'!$A:$A,Customers!$A:$H,5,FALSE)</f>
        <v>Kolkata</v>
      </c>
      <c r="G412" t="str">
        <f>VLOOKUP($B:$B,Products!$A:$D,2,FALSE)</f>
        <v>Handmade Pottery</v>
      </c>
      <c r="H412" t="str">
        <f>VLOOKUP($B:$B,Products!$A:$D,3,FALSE)</f>
        <v>Home Decor</v>
      </c>
      <c r="I412">
        <f>VLOOKUP($B:$B,Products!$A:$D,4,FALSE)</f>
        <v>8186</v>
      </c>
      <c r="J412" s="4">
        <f>VLOOKUP($A:$A,Sales!$B:$H,6,FALSE)</f>
        <v>45592</v>
      </c>
      <c r="K412" s="9">
        <f>VLOOKUP($A:$A,Sales!$B:$H,4,FALSE)</f>
        <v>2</v>
      </c>
      <c r="L412" s="5">
        <f t="shared" si="6"/>
        <v>16372</v>
      </c>
    </row>
    <row r="413" spans="1:12" x14ac:dyDescent="0.3">
      <c r="A413">
        <v>1292</v>
      </c>
      <c r="B413">
        <v>2012</v>
      </c>
      <c r="C413">
        <v>3001</v>
      </c>
      <c r="D413" t="str">
        <f>VLOOKUP('Sales table'!$A:$A,Customers!$A:$H,2,FALSE)</f>
        <v>Angela Bass</v>
      </c>
      <c r="E413">
        <f>VLOOKUP('Sales table'!$A:$A,Customers!$A:$H,4,FALSE)</f>
        <v>19</v>
      </c>
      <c r="F413" t="str">
        <f>VLOOKUP('Sales table'!$A:$A,Customers!$A:$H,5,FALSE)</f>
        <v>Mumbai</v>
      </c>
      <c r="G413" t="str">
        <f>VLOOKUP($B:$B,Products!$A:$D,2,FALSE)</f>
        <v>Wall Hanging</v>
      </c>
      <c r="H413" t="str">
        <f>VLOOKUP($B:$B,Products!$A:$D,3,FALSE)</f>
        <v>Home Decor</v>
      </c>
      <c r="I413">
        <f>VLOOKUP($B:$B,Products!$A:$D,4,FALSE)</f>
        <v>11867</v>
      </c>
      <c r="J413" s="4">
        <f>VLOOKUP($A:$A,Sales!$B:$H,6,FALSE)</f>
        <v>45584</v>
      </c>
      <c r="K413" s="9">
        <f>VLOOKUP($A:$A,Sales!$B:$H,4,FALSE)</f>
        <v>2</v>
      </c>
      <c r="L413" s="5">
        <f t="shared" si="6"/>
        <v>23734</v>
      </c>
    </row>
    <row r="414" spans="1:12" x14ac:dyDescent="0.3">
      <c r="A414">
        <v>1236</v>
      </c>
      <c r="B414">
        <v>2022</v>
      </c>
      <c r="C414">
        <v>3009</v>
      </c>
      <c r="D414" t="str">
        <f>VLOOKUP('Sales table'!$A:$A,Customers!$A:$H,2,FALSE)</f>
        <v>Kimberly Clay</v>
      </c>
      <c r="E414">
        <f>VLOOKUP('Sales table'!$A:$A,Customers!$A:$H,4,FALSE)</f>
        <v>60</v>
      </c>
      <c r="F414" t="str">
        <f>VLOOKUP('Sales table'!$A:$A,Customers!$A:$H,5,FALSE)</f>
        <v>Delhi</v>
      </c>
      <c r="G414" t="str">
        <f>VLOOKUP($B:$B,Products!$A:$D,2,FALSE)</f>
        <v>Home Decor Statue</v>
      </c>
      <c r="H414" t="str">
        <f>VLOOKUP($B:$B,Products!$A:$D,3,FALSE)</f>
        <v>Home Decor</v>
      </c>
      <c r="I414">
        <f>VLOOKUP($B:$B,Products!$A:$D,4,FALSE)</f>
        <v>17149</v>
      </c>
      <c r="J414" s="4">
        <f>VLOOKUP($A:$A,Sales!$B:$H,6,FALSE)</f>
        <v>45598</v>
      </c>
      <c r="K414" s="9">
        <f>VLOOKUP($A:$A,Sales!$B:$H,4,FALSE)</f>
        <v>3</v>
      </c>
      <c r="L414" s="5">
        <f t="shared" si="6"/>
        <v>51447</v>
      </c>
    </row>
    <row r="415" spans="1:12" x14ac:dyDescent="0.3">
      <c r="A415">
        <v>1188</v>
      </c>
      <c r="B415">
        <v>2024</v>
      </c>
      <c r="C415">
        <v>3004</v>
      </c>
      <c r="D415" t="str">
        <f>VLOOKUP('Sales table'!$A:$A,Customers!$A:$H,2,FALSE)</f>
        <v>Timothy Graham</v>
      </c>
      <c r="E415">
        <f>VLOOKUP('Sales table'!$A:$A,Customers!$A:$H,4,FALSE)</f>
        <v>33</v>
      </c>
      <c r="F415" t="str">
        <f>VLOOKUP('Sales table'!$A:$A,Customers!$A:$H,5,FALSE)</f>
        <v>Kolkata</v>
      </c>
      <c r="G415" t="str">
        <f>VLOOKUP($B:$B,Products!$A:$D,2,FALSE)</f>
        <v>Perfume Gift Set</v>
      </c>
      <c r="H415" t="str">
        <f>VLOOKUP($B:$B,Products!$A:$D,3,FALSE)</f>
        <v>Accessories</v>
      </c>
      <c r="I415">
        <f>VLOOKUP($B:$B,Products!$A:$D,4,FALSE)</f>
        <v>16272</v>
      </c>
      <c r="J415" s="4">
        <f>VLOOKUP($A:$A,Sales!$B:$H,6,FALSE)</f>
        <v>45581</v>
      </c>
      <c r="K415" s="9">
        <f>VLOOKUP($A:$A,Sales!$B:$H,4,FALSE)</f>
        <v>3</v>
      </c>
      <c r="L415" s="5">
        <f t="shared" si="6"/>
        <v>48816</v>
      </c>
    </row>
    <row r="416" spans="1:12" x14ac:dyDescent="0.3">
      <c r="A416">
        <v>1215</v>
      </c>
      <c r="B416">
        <v>2025</v>
      </c>
      <c r="C416">
        <v>3004</v>
      </c>
      <c r="D416" t="str">
        <f>VLOOKUP('Sales table'!$A:$A,Customers!$A:$H,2,FALSE)</f>
        <v>Brent Murphy</v>
      </c>
      <c r="E416">
        <f>VLOOKUP('Sales table'!$A:$A,Customers!$A:$H,4,FALSE)</f>
        <v>57</v>
      </c>
      <c r="F416" t="str">
        <f>VLOOKUP('Sales table'!$A:$A,Customers!$A:$H,5,FALSE)</f>
        <v>Hyderabad</v>
      </c>
      <c r="G416" t="str">
        <f>VLOOKUP($B:$B,Products!$A:$D,2,FALSE)</f>
        <v>Handbag</v>
      </c>
      <c r="H416" t="str">
        <f>VLOOKUP($B:$B,Products!$A:$D,3,FALSE)</f>
        <v>Accessories</v>
      </c>
      <c r="I416">
        <f>VLOOKUP($B:$B,Products!$A:$D,4,FALSE)</f>
        <v>17019</v>
      </c>
      <c r="J416" s="4">
        <f>VLOOKUP($A:$A,Sales!$B:$H,6,FALSE)</f>
        <v>45579</v>
      </c>
      <c r="K416" s="9">
        <f>VLOOKUP($A:$A,Sales!$B:$H,4,FALSE)</f>
        <v>2</v>
      </c>
      <c r="L416" s="5">
        <f t="shared" si="6"/>
        <v>34038</v>
      </c>
    </row>
    <row r="417" spans="1:12" x14ac:dyDescent="0.3">
      <c r="A417">
        <v>1150</v>
      </c>
      <c r="B417">
        <v>2023</v>
      </c>
      <c r="C417">
        <v>3013</v>
      </c>
      <c r="D417" t="str">
        <f>VLOOKUP('Sales table'!$A:$A,Customers!$A:$H,2,FALSE)</f>
        <v>Angelica Davis</v>
      </c>
      <c r="E417">
        <f>VLOOKUP('Sales table'!$A:$A,Customers!$A:$H,4,FALSE)</f>
        <v>18</v>
      </c>
      <c r="F417" t="str">
        <f>VLOOKUP('Sales table'!$A:$A,Customers!$A:$H,5,FALSE)</f>
        <v>Bangalore</v>
      </c>
      <c r="G417" t="str">
        <f>VLOOKUP($B:$B,Products!$A:$D,2,FALSE)</f>
        <v>Kids Wear</v>
      </c>
      <c r="H417" t="str">
        <f>VLOOKUP($B:$B,Products!$A:$D,3,FALSE)</f>
        <v>Clothing</v>
      </c>
      <c r="I417">
        <f>VLOOKUP($B:$B,Products!$A:$D,4,FALSE)</f>
        <v>4794</v>
      </c>
      <c r="J417" s="4">
        <f>VLOOKUP($A:$A,Sales!$B:$H,6,FALSE)</f>
        <v>45601</v>
      </c>
      <c r="K417" s="9">
        <f>VLOOKUP($A:$A,Sales!$B:$H,4,FALSE)</f>
        <v>3</v>
      </c>
      <c r="L417" s="5">
        <f t="shared" si="6"/>
        <v>14382</v>
      </c>
    </row>
    <row r="418" spans="1:12" x14ac:dyDescent="0.3">
      <c r="A418">
        <v>1009</v>
      </c>
      <c r="B418">
        <v>2004</v>
      </c>
      <c r="C418">
        <v>3020</v>
      </c>
      <c r="D418" t="str">
        <f>VLOOKUP('Sales table'!$A:$A,Customers!$A:$H,2,FALSE)</f>
        <v>Kayla Long</v>
      </c>
      <c r="E418">
        <f>VLOOKUP('Sales table'!$A:$A,Customers!$A:$H,4,FALSE)</f>
        <v>57</v>
      </c>
      <c r="F418" t="str">
        <f>VLOOKUP('Sales table'!$A:$A,Customers!$A:$H,5,FALSE)</f>
        <v>Pune</v>
      </c>
      <c r="G418" t="str">
        <f>VLOOKUP($B:$B,Products!$A:$D,2,FALSE)</f>
        <v>Smartphone</v>
      </c>
      <c r="H418" t="str">
        <f>VLOOKUP($B:$B,Products!$A:$D,3,FALSE)</f>
        <v>Electronics</v>
      </c>
      <c r="I418">
        <f>VLOOKUP($B:$B,Products!$A:$D,4,FALSE)</f>
        <v>4952</v>
      </c>
      <c r="J418" s="4">
        <f>VLOOKUP($A:$A,Sales!$B:$H,6,FALSE)</f>
        <v>45601</v>
      </c>
      <c r="K418" s="9">
        <f>VLOOKUP($A:$A,Sales!$B:$H,4,FALSE)</f>
        <v>2</v>
      </c>
      <c r="L418" s="5">
        <f t="shared" si="6"/>
        <v>9904</v>
      </c>
    </row>
    <row r="419" spans="1:12" x14ac:dyDescent="0.3">
      <c r="A419">
        <v>1069</v>
      </c>
      <c r="B419">
        <v>2011</v>
      </c>
      <c r="C419">
        <v>3031</v>
      </c>
      <c r="D419" t="str">
        <f>VLOOKUP('Sales table'!$A:$A,Customers!$A:$H,2,FALSE)</f>
        <v>Calvin Wright</v>
      </c>
      <c r="E419">
        <f>VLOOKUP('Sales table'!$A:$A,Customers!$A:$H,4,FALSE)</f>
        <v>63</v>
      </c>
      <c r="F419" t="str">
        <f>VLOOKUP('Sales table'!$A:$A,Customers!$A:$H,5,FALSE)</f>
        <v>Chennai</v>
      </c>
      <c r="G419" t="str">
        <f>VLOOKUP($B:$B,Products!$A:$D,2,FALSE)</f>
        <v>Festive Thali</v>
      </c>
      <c r="H419" t="str">
        <f>VLOOKUP($B:$B,Products!$A:$D,3,FALSE)</f>
        <v>Other</v>
      </c>
      <c r="I419">
        <f>VLOOKUP($B:$B,Products!$A:$D,4,FALSE)</f>
        <v>7481</v>
      </c>
      <c r="J419" s="4">
        <f>VLOOKUP($A:$A,Sales!$B:$H,6,FALSE)</f>
        <v>45614</v>
      </c>
      <c r="K419" s="9">
        <f>VLOOKUP($A:$A,Sales!$B:$H,4,FALSE)</f>
        <v>2</v>
      </c>
      <c r="L419" s="5">
        <f t="shared" si="6"/>
        <v>14962</v>
      </c>
    </row>
    <row r="420" spans="1:12" x14ac:dyDescent="0.3">
      <c r="A420">
        <v>1062</v>
      </c>
      <c r="B420">
        <v>2023</v>
      </c>
      <c r="C420">
        <v>3027</v>
      </c>
      <c r="D420" t="str">
        <f>VLOOKUP('Sales table'!$A:$A,Customers!$A:$H,2,FALSE)</f>
        <v>William Murphy</v>
      </c>
      <c r="E420">
        <f>VLOOKUP('Sales table'!$A:$A,Customers!$A:$H,4,FALSE)</f>
        <v>34</v>
      </c>
      <c r="F420" t="str">
        <f>VLOOKUP('Sales table'!$A:$A,Customers!$A:$H,5,FALSE)</f>
        <v>Chennai</v>
      </c>
      <c r="G420" t="str">
        <f>VLOOKUP($B:$B,Products!$A:$D,2,FALSE)</f>
        <v>Kids Wear</v>
      </c>
      <c r="H420" t="str">
        <f>VLOOKUP($B:$B,Products!$A:$D,3,FALSE)</f>
        <v>Clothing</v>
      </c>
      <c r="I420">
        <f>VLOOKUP($B:$B,Products!$A:$D,4,FALSE)</f>
        <v>4794</v>
      </c>
      <c r="J420" s="4">
        <f>VLOOKUP($A:$A,Sales!$B:$H,6,FALSE)</f>
        <v>45590</v>
      </c>
      <c r="K420" s="9">
        <f>VLOOKUP($A:$A,Sales!$B:$H,4,FALSE)</f>
        <v>1</v>
      </c>
      <c r="L420" s="5">
        <f t="shared" si="6"/>
        <v>4794</v>
      </c>
    </row>
    <row r="421" spans="1:12" x14ac:dyDescent="0.3">
      <c r="A421">
        <v>1159</v>
      </c>
      <c r="B421">
        <v>2001</v>
      </c>
      <c r="C421">
        <v>3034</v>
      </c>
      <c r="D421" t="str">
        <f>VLOOKUP('Sales table'!$A:$A,Customers!$A:$H,2,FALSE)</f>
        <v>William Smith</v>
      </c>
      <c r="E421">
        <f>VLOOKUP('Sales table'!$A:$A,Customers!$A:$H,4,FALSE)</f>
        <v>65</v>
      </c>
      <c r="F421" t="str">
        <f>VLOOKUP('Sales table'!$A:$A,Customers!$A:$H,5,FALSE)</f>
        <v>Mumbai</v>
      </c>
      <c r="G421" t="str">
        <f>VLOOKUP($B:$B,Products!$A:$D,2,FALSE)</f>
        <v>Sweets Box</v>
      </c>
      <c r="H421" t="str">
        <f>VLOOKUP($B:$B,Products!$A:$D,3,FALSE)</f>
        <v>Sweets &amp; Gifts</v>
      </c>
      <c r="I421">
        <f>VLOOKUP($B:$B,Products!$A:$D,4,FALSE)</f>
        <v>7228</v>
      </c>
      <c r="J421" s="4">
        <f>VLOOKUP($A:$A,Sales!$B:$H,6,FALSE)</f>
        <v>45606</v>
      </c>
      <c r="K421" s="9">
        <f>VLOOKUP($A:$A,Sales!$B:$H,4,FALSE)</f>
        <v>2</v>
      </c>
      <c r="L421" s="5">
        <f t="shared" si="6"/>
        <v>14456</v>
      </c>
    </row>
    <row r="422" spans="1:12" x14ac:dyDescent="0.3">
      <c r="A422">
        <v>1220</v>
      </c>
      <c r="B422">
        <v>2024</v>
      </c>
      <c r="C422">
        <v>3033</v>
      </c>
      <c r="D422" t="str">
        <f>VLOOKUP('Sales table'!$A:$A,Customers!$A:$H,2,FALSE)</f>
        <v>Desiree Reed</v>
      </c>
      <c r="E422">
        <f>VLOOKUP('Sales table'!$A:$A,Customers!$A:$H,4,FALSE)</f>
        <v>29</v>
      </c>
      <c r="F422" t="str">
        <f>VLOOKUP('Sales table'!$A:$A,Customers!$A:$H,5,FALSE)</f>
        <v>Hyderabad</v>
      </c>
      <c r="G422" t="str">
        <f>VLOOKUP($B:$B,Products!$A:$D,2,FALSE)</f>
        <v>Perfume Gift Set</v>
      </c>
      <c r="H422" t="str">
        <f>VLOOKUP($B:$B,Products!$A:$D,3,FALSE)</f>
        <v>Accessories</v>
      </c>
      <c r="I422">
        <f>VLOOKUP($B:$B,Products!$A:$D,4,FALSE)</f>
        <v>16272</v>
      </c>
      <c r="J422" s="4">
        <f>VLOOKUP($A:$A,Sales!$B:$H,6,FALSE)</f>
        <v>45608</v>
      </c>
      <c r="K422" s="9">
        <f>VLOOKUP($A:$A,Sales!$B:$H,4,FALSE)</f>
        <v>2</v>
      </c>
      <c r="L422" s="5">
        <f t="shared" si="6"/>
        <v>32544</v>
      </c>
    </row>
    <row r="423" spans="1:12" x14ac:dyDescent="0.3">
      <c r="A423">
        <v>1276</v>
      </c>
      <c r="B423">
        <v>2025</v>
      </c>
      <c r="C423">
        <v>3020</v>
      </c>
      <c r="D423" t="str">
        <f>VLOOKUP('Sales table'!$A:$A,Customers!$A:$H,2,FALSE)</f>
        <v>Miss Tammy Cooper</v>
      </c>
      <c r="E423">
        <f>VLOOKUP('Sales table'!$A:$A,Customers!$A:$H,4,FALSE)</f>
        <v>42</v>
      </c>
      <c r="F423" t="str">
        <f>VLOOKUP('Sales table'!$A:$A,Customers!$A:$H,5,FALSE)</f>
        <v>Mumbai</v>
      </c>
      <c r="G423" t="str">
        <f>VLOOKUP($B:$B,Products!$A:$D,2,FALSE)</f>
        <v>Handbag</v>
      </c>
      <c r="H423" t="str">
        <f>VLOOKUP($B:$B,Products!$A:$D,3,FALSE)</f>
        <v>Accessories</v>
      </c>
      <c r="I423">
        <f>VLOOKUP($B:$B,Products!$A:$D,4,FALSE)</f>
        <v>17019</v>
      </c>
      <c r="J423" s="4">
        <f>VLOOKUP($A:$A,Sales!$B:$H,6,FALSE)</f>
        <v>45611</v>
      </c>
      <c r="K423" s="9">
        <f>VLOOKUP($A:$A,Sales!$B:$H,4,FALSE)</f>
        <v>4</v>
      </c>
      <c r="L423" s="5">
        <f t="shared" si="6"/>
        <v>68076</v>
      </c>
    </row>
    <row r="424" spans="1:12" x14ac:dyDescent="0.3">
      <c r="A424">
        <v>1004</v>
      </c>
      <c r="B424">
        <v>2015</v>
      </c>
      <c r="C424">
        <v>3024</v>
      </c>
      <c r="D424" t="str">
        <f>VLOOKUP('Sales table'!$A:$A,Customers!$A:$H,2,FALSE)</f>
        <v>Holly Hopkins</v>
      </c>
      <c r="E424">
        <f>VLOOKUP('Sales table'!$A:$A,Customers!$A:$H,4,FALSE)</f>
        <v>65</v>
      </c>
      <c r="F424" t="str">
        <f>VLOOKUP('Sales table'!$A:$A,Customers!$A:$H,5,FALSE)</f>
        <v>Mumbai</v>
      </c>
      <c r="G424" t="str">
        <f>VLOOKUP($B:$B,Products!$A:$D,2,FALSE)</f>
        <v>Candle Set</v>
      </c>
      <c r="H424" t="str">
        <f>VLOOKUP($B:$B,Products!$A:$D,3,FALSE)</f>
        <v>Home Decor</v>
      </c>
      <c r="I424">
        <f>VLOOKUP($B:$B,Products!$A:$D,4,FALSE)</f>
        <v>17604</v>
      </c>
      <c r="J424" s="4">
        <f>VLOOKUP($A:$A,Sales!$B:$H,6,FALSE)</f>
        <v>45579</v>
      </c>
      <c r="K424" s="9">
        <f>VLOOKUP($A:$A,Sales!$B:$H,4,FALSE)</f>
        <v>2</v>
      </c>
      <c r="L424" s="5">
        <f t="shared" si="6"/>
        <v>35208</v>
      </c>
    </row>
    <row r="425" spans="1:12" x14ac:dyDescent="0.3">
      <c r="A425">
        <v>1263</v>
      </c>
      <c r="B425">
        <v>2013</v>
      </c>
      <c r="C425">
        <v>3003</v>
      </c>
      <c r="D425" t="str">
        <f>VLOOKUP('Sales table'!$A:$A,Customers!$A:$H,2,FALSE)</f>
        <v>Jordan Smith</v>
      </c>
      <c r="E425">
        <f>VLOOKUP('Sales table'!$A:$A,Customers!$A:$H,4,FALSE)</f>
        <v>38</v>
      </c>
      <c r="F425" t="str">
        <f>VLOOKUP('Sales table'!$A:$A,Customers!$A:$H,5,FALSE)</f>
        <v>Kolkata</v>
      </c>
      <c r="G425" t="str">
        <f>VLOOKUP($B:$B,Products!$A:$D,2,FALSE)</f>
        <v>Silver Coin</v>
      </c>
      <c r="H425" t="str">
        <f>VLOOKUP($B:$B,Products!$A:$D,3,FALSE)</f>
        <v>Precious Items</v>
      </c>
      <c r="I425">
        <f>VLOOKUP($B:$B,Products!$A:$D,4,FALSE)</f>
        <v>11845</v>
      </c>
      <c r="J425" s="4">
        <f>VLOOKUP($A:$A,Sales!$B:$H,6,FALSE)</f>
        <v>45581</v>
      </c>
      <c r="K425" s="9">
        <f>VLOOKUP($A:$A,Sales!$B:$H,4,FALSE)</f>
        <v>1</v>
      </c>
      <c r="L425" s="5">
        <f t="shared" si="6"/>
        <v>11845</v>
      </c>
    </row>
    <row r="426" spans="1:12" x14ac:dyDescent="0.3">
      <c r="A426">
        <v>1168</v>
      </c>
      <c r="B426">
        <v>2022</v>
      </c>
      <c r="C426">
        <v>3016</v>
      </c>
      <c r="D426" t="str">
        <f>VLOOKUP('Sales table'!$A:$A,Customers!$A:$H,2,FALSE)</f>
        <v>John Daniels</v>
      </c>
      <c r="E426">
        <f>VLOOKUP('Sales table'!$A:$A,Customers!$A:$H,4,FALSE)</f>
        <v>40</v>
      </c>
      <c r="F426" t="str">
        <f>VLOOKUP('Sales table'!$A:$A,Customers!$A:$H,5,FALSE)</f>
        <v>Kolkata</v>
      </c>
      <c r="G426" t="str">
        <f>VLOOKUP($B:$B,Products!$A:$D,2,FALSE)</f>
        <v>Home Decor Statue</v>
      </c>
      <c r="H426" t="str">
        <f>VLOOKUP($B:$B,Products!$A:$D,3,FALSE)</f>
        <v>Home Decor</v>
      </c>
      <c r="I426">
        <f>VLOOKUP($B:$B,Products!$A:$D,4,FALSE)</f>
        <v>17149</v>
      </c>
      <c r="J426" s="4">
        <f>VLOOKUP($A:$A,Sales!$B:$H,6,FALSE)</f>
        <v>45595</v>
      </c>
      <c r="K426" s="9">
        <f>VLOOKUP($A:$A,Sales!$B:$H,4,FALSE)</f>
        <v>5</v>
      </c>
      <c r="L426" s="5">
        <f t="shared" si="6"/>
        <v>85745</v>
      </c>
    </row>
    <row r="427" spans="1:12" x14ac:dyDescent="0.3">
      <c r="A427">
        <v>1090</v>
      </c>
      <c r="B427">
        <v>2005</v>
      </c>
      <c r="C427">
        <v>3034</v>
      </c>
      <c r="D427" t="str">
        <f>VLOOKUP('Sales table'!$A:$A,Customers!$A:$H,2,FALSE)</f>
        <v>Colleen Aguilar</v>
      </c>
      <c r="E427">
        <f>VLOOKUP('Sales table'!$A:$A,Customers!$A:$H,4,FALSE)</f>
        <v>55</v>
      </c>
      <c r="F427" t="str">
        <f>VLOOKUP('Sales table'!$A:$A,Customers!$A:$H,5,FALSE)</f>
        <v>Mumbai</v>
      </c>
      <c r="G427" t="str">
        <f>VLOOKUP($B:$B,Products!$A:$D,2,FALSE)</f>
        <v>LED Lamp</v>
      </c>
      <c r="H427" t="str">
        <f>VLOOKUP($B:$B,Products!$A:$D,3,FALSE)</f>
        <v>Home Decor</v>
      </c>
      <c r="I427">
        <f>VLOOKUP($B:$B,Products!$A:$D,4,FALSE)</f>
        <v>3828</v>
      </c>
      <c r="J427" s="4">
        <f>VLOOKUP($A:$A,Sales!$B:$H,6,FALSE)</f>
        <v>45585</v>
      </c>
      <c r="K427" s="9">
        <f>VLOOKUP($A:$A,Sales!$B:$H,4,FALSE)</f>
        <v>3</v>
      </c>
      <c r="L427" s="5">
        <f t="shared" si="6"/>
        <v>11484</v>
      </c>
    </row>
    <row r="428" spans="1:12" x14ac:dyDescent="0.3">
      <c r="A428">
        <v>1001</v>
      </c>
      <c r="B428">
        <v>2017</v>
      </c>
      <c r="C428">
        <v>3020</v>
      </c>
      <c r="D428" t="str">
        <f>VLOOKUP('Sales table'!$A:$A,Customers!$A:$H,2,FALSE)</f>
        <v>Michael Mitchell</v>
      </c>
      <c r="E428">
        <f>VLOOKUP('Sales table'!$A:$A,Customers!$A:$H,4,FALSE)</f>
        <v>35</v>
      </c>
      <c r="F428" t="str">
        <f>VLOOKUP('Sales table'!$A:$A,Customers!$A:$H,5,FALSE)</f>
        <v>Mumbai</v>
      </c>
      <c r="G428" t="str">
        <f>VLOOKUP($B:$B,Products!$A:$D,2,FALSE)</f>
        <v>Handmade Pottery</v>
      </c>
      <c r="H428" t="str">
        <f>VLOOKUP($B:$B,Products!$A:$D,3,FALSE)</f>
        <v>Home Decor</v>
      </c>
      <c r="I428">
        <f>VLOOKUP($B:$B,Products!$A:$D,4,FALSE)</f>
        <v>8186</v>
      </c>
      <c r="J428" s="4">
        <f>VLOOKUP($A:$A,Sales!$B:$H,6,FALSE)</f>
        <v>45592</v>
      </c>
      <c r="K428" s="9">
        <f>VLOOKUP($A:$A,Sales!$B:$H,4,FALSE)</f>
        <v>1</v>
      </c>
      <c r="L428" s="5">
        <f t="shared" si="6"/>
        <v>8186</v>
      </c>
    </row>
    <row r="429" spans="1:12" x14ac:dyDescent="0.3">
      <c r="A429">
        <v>1246</v>
      </c>
      <c r="B429">
        <v>2003</v>
      </c>
      <c r="C429">
        <v>3019</v>
      </c>
      <c r="D429" t="str">
        <f>VLOOKUP('Sales table'!$A:$A,Customers!$A:$H,2,FALSE)</f>
        <v>Casey Bailey</v>
      </c>
      <c r="E429">
        <f>VLOOKUP('Sales table'!$A:$A,Customers!$A:$H,4,FALSE)</f>
        <v>18</v>
      </c>
      <c r="F429" t="str">
        <f>VLOOKUP('Sales table'!$A:$A,Customers!$A:$H,5,FALSE)</f>
        <v>Bangalore</v>
      </c>
      <c r="G429" t="str">
        <f>VLOOKUP($B:$B,Products!$A:$D,2,FALSE)</f>
        <v>Kurta</v>
      </c>
      <c r="H429" t="str">
        <f>VLOOKUP($B:$B,Products!$A:$D,3,FALSE)</f>
        <v>Clothing</v>
      </c>
      <c r="I429">
        <f>VLOOKUP($B:$B,Products!$A:$D,4,FALSE)</f>
        <v>13241</v>
      </c>
      <c r="J429" s="4">
        <f>VLOOKUP($A:$A,Sales!$B:$H,6,FALSE)</f>
        <v>45596</v>
      </c>
      <c r="K429" s="9">
        <f>VLOOKUP($A:$A,Sales!$B:$H,4,FALSE)</f>
        <v>2</v>
      </c>
      <c r="L429" s="5">
        <f t="shared" si="6"/>
        <v>26482</v>
      </c>
    </row>
    <row r="430" spans="1:12" x14ac:dyDescent="0.3">
      <c r="A430">
        <v>1144</v>
      </c>
      <c r="B430">
        <v>2003</v>
      </c>
      <c r="C430">
        <v>3006</v>
      </c>
      <c r="D430" t="str">
        <f>VLOOKUP('Sales table'!$A:$A,Customers!$A:$H,2,FALSE)</f>
        <v>Amanda Henry</v>
      </c>
      <c r="E430">
        <f>VLOOKUP('Sales table'!$A:$A,Customers!$A:$H,4,FALSE)</f>
        <v>63</v>
      </c>
      <c r="F430" t="str">
        <f>VLOOKUP('Sales table'!$A:$A,Customers!$A:$H,5,FALSE)</f>
        <v>Hyderabad</v>
      </c>
      <c r="G430" t="str">
        <f>VLOOKUP($B:$B,Products!$A:$D,2,FALSE)</f>
        <v>Kurta</v>
      </c>
      <c r="H430" t="str">
        <f>VLOOKUP($B:$B,Products!$A:$D,3,FALSE)</f>
        <v>Clothing</v>
      </c>
      <c r="I430">
        <f>VLOOKUP($B:$B,Products!$A:$D,4,FALSE)</f>
        <v>13241</v>
      </c>
      <c r="J430" s="4">
        <f>VLOOKUP($A:$A,Sales!$B:$H,6,FALSE)</f>
        <v>45595</v>
      </c>
      <c r="K430" s="9">
        <f>VLOOKUP($A:$A,Sales!$B:$H,4,FALSE)</f>
        <v>5</v>
      </c>
      <c r="L430" s="5">
        <f t="shared" si="6"/>
        <v>66205</v>
      </c>
    </row>
    <row r="431" spans="1:12" x14ac:dyDescent="0.3">
      <c r="A431">
        <v>1068</v>
      </c>
      <c r="B431">
        <v>2001</v>
      </c>
      <c r="C431">
        <v>3004</v>
      </c>
      <c r="D431" t="str">
        <f>VLOOKUP('Sales table'!$A:$A,Customers!$A:$H,2,FALSE)</f>
        <v>Tiffany Brown</v>
      </c>
      <c r="E431">
        <f>VLOOKUP('Sales table'!$A:$A,Customers!$A:$H,4,FALSE)</f>
        <v>44</v>
      </c>
      <c r="F431" t="str">
        <f>VLOOKUP('Sales table'!$A:$A,Customers!$A:$H,5,FALSE)</f>
        <v>Mumbai</v>
      </c>
      <c r="G431" t="str">
        <f>VLOOKUP($B:$B,Products!$A:$D,2,FALSE)</f>
        <v>Sweets Box</v>
      </c>
      <c r="H431" t="str">
        <f>VLOOKUP($B:$B,Products!$A:$D,3,FALSE)</f>
        <v>Sweets &amp; Gifts</v>
      </c>
      <c r="I431">
        <f>VLOOKUP($B:$B,Products!$A:$D,4,FALSE)</f>
        <v>7228</v>
      </c>
      <c r="J431" s="4">
        <f>VLOOKUP($A:$A,Sales!$B:$H,6,FALSE)</f>
        <v>45591</v>
      </c>
      <c r="K431" s="9">
        <f>VLOOKUP($A:$A,Sales!$B:$H,4,FALSE)</f>
        <v>2</v>
      </c>
      <c r="L431" s="5">
        <f t="shared" si="6"/>
        <v>14456</v>
      </c>
    </row>
    <row r="432" spans="1:12" x14ac:dyDescent="0.3">
      <c r="A432">
        <v>1077</v>
      </c>
      <c r="B432">
        <v>2014</v>
      </c>
      <c r="C432">
        <v>3017</v>
      </c>
      <c r="D432" t="str">
        <f>VLOOKUP('Sales table'!$A:$A,Customers!$A:$H,2,FALSE)</f>
        <v>Carlos Hester</v>
      </c>
      <c r="E432">
        <f>VLOOKUP('Sales table'!$A:$A,Customers!$A:$H,4,FALSE)</f>
        <v>36</v>
      </c>
      <c r="F432" t="str">
        <f>VLOOKUP('Sales table'!$A:$A,Customers!$A:$H,5,FALSE)</f>
        <v>Delhi</v>
      </c>
      <c r="G432" t="str">
        <f>VLOOKUP($B:$B,Products!$A:$D,2,FALSE)</f>
        <v>Gold Coin</v>
      </c>
      <c r="H432" t="str">
        <f>VLOOKUP($B:$B,Products!$A:$D,3,FALSE)</f>
        <v>Precious Items</v>
      </c>
      <c r="I432">
        <f>VLOOKUP($B:$B,Products!$A:$D,4,FALSE)</f>
        <v>13823</v>
      </c>
      <c r="J432" s="4">
        <f>VLOOKUP($A:$A,Sales!$B:$H,6,FALSE)</f>
        <v>45588</v>
      </c>
      <c r="K432" s="9">
        <f>VLOOKUP($A:$A,Sales!$B:$H,4,FALSE)</f>
        <v>4</v>
      </c>
      <c r="L432" s="5">
        <f t="shared" si="6"/>
        <v>55292</v>
      </c>
    </row>
    <row r="433" spans="1:12" x14ac:dyDescent="0.3">
      <c r="A433">
        <v>1123</v>
      </c>
      <c r="B433">
        <v>2025</v>
      </c>
      <c r="C433">
        <v>3010</v>
      </c>
      <c r="D433" t="str">
        <f>VLOOKUP('Sales table'!$A:$A,Customers!$A:$H,2,FALSE)</f>
        <v>Luis Long</v>
      </c>
      <c r="E433">
        <f>VLOOKUP('Sales table'!$A:$A,Customers!$A:$H,4,FALSE)</f>
        <v>53</v>
      </c>
      <c r="F433" t="str">
        <f>VLOOKUP('Sales table'!$A:$A,Customers!$A:$H,5,FALSE)</f>
        <v>Chennai</v>
      </c>
      <c r="G433" t="str">
        <f>VLOOKUP($B:$B,Products!$A:$D,2,FALSE)</f>
        <v>Handbag</v>
      </c>
      <c r="H433" t="str">
        <f>VLOOKUP($B:$B,Products!$A:$D,3,FALSE)</f>
        <v>Accessories</v>
      </c>
      <c r="I433">
        <f>VLOOKUP($B:$B,Products!$A:$D,4,FALSE)</f>
        <v>17019</v>
      </c>
      <c r="J433" s="4">
        <f>VLOOKUP($A:$A,Sales!$B:$H,6,FALSE)</f>
        <v>45597</v>
      </c>
      <c r="K433" s="9">
        <f>VLOOKUP($A:$A,Sales!$B:$H,4,FALSE)</f>
        <v>5</v>
      </c>
      <c r="L433" s="5">
        <f t="shared" si="6"/>
        <v>85095</v>
      </c>
    </row>
    <row r="434" spans="1:12" x14ac:dyDescent="0.3">
      <c r="A434">
        <v>1269</v>
      </c>
      <c r="B434">
        <v>2019</v>
      </c>
      <c r="C434">
        <v>3026</v>
      </c>
      <c r="D434" t="str">
        <f>VLOOKUP('Sales table'!$A:$A,Customers!$A:$H,2,FALSE)</f>
        <v>Anne Harris</v>
      </c>
      <c r="E434">
        <f>VLOOKUP('Sales table'!$A:$A,Customers!$A:$H,4,FALSE)</f>
        <v>33</v>
      </c>
      <c r="F434" t="str">
        <f>VLOOKUP('Sales table'!$A:$A,Customers!$A:$H,5,FALSE)</f>
        <v>Kolkata</v>
      </c>
      <c r="G434" t="str">
        <f>VLOOKUP($B:$B,Products!$A:$D,2,FALSE)</f>
        <v>Designer Kurti</v>
      </c>
      <c r="H434" t="str">
        <f>VLOOKUP($B:$B,Products!$A:$D,3,FALSE)</f>
        <v>Clothing</v>
      </c>
      <c r="I434">
        <f>VLOOKUP($B:$B,Products!$A:$D,4,FALSE)</f>
        <v>13620</v>
      </c>
      <c r="J434" s="4">
        <f>VLOOKUP($A:$A,Sales!$B:$H,6,FALSE)</f>
        <v>45607</v>
      </c>
      <c r="K434" s="9">
        <f>VLOOKUP($A:$A,Sales!$B:$H,4,FALSE)</f>
        <v>5</v>
      </c>
      <c r="L434" s="5">
        <f t="shared" si="6"/>
        <v>68100</v>
      </c>
    </row>
    <row r="435" spans="1:12" x14ac:dyDescent="0.3">
      <c r="A435">
        <v>1182</v>
      </c>
      <c r="B435">
        <v>2010</v>
      </c>
      <c r="C435">
        <v>3019</v>
      </c>
      <c r="D435" t="str">
        <f>VLOOKUP('Sales table'!$A:$A,Customers!$A:$H,2,FALSE)</f>
        <v>Benjamin Sanchez</v>
      </c>
      <c r="E435">
        <f>VLOOKUP('Sales table'!$A:$A,Customers!$A:$H,4,FALSE)</f>
        <v>47</v>
      </c>
      <c r="F435" t="str">
        <f>VLOOKUP('Sales table'!$A:$A,Customers!$A:$H,5,FALSE)</f>
        <v>Bangalore</v>
      </c>
      <c r="G435" t="str">
        <f>VLOOKUP($B:$B,Products!$A:$D,2,FALSE)</f>
        <v>Chocolate Box</v>
      </c>
      <c r="H435" t="str">
        <f>VLOOKUP($B:$B,Products!$A:$D,3,FALSE)</f>
        <v>Sweets &amp; Gifts</v>
      </c>
      <c r="I435">
        <f>VLOOKUP($B:$B,Products!$A:$D,4,FALSE)</f>
        <v>17909</v>
      </c>
      <c r="J435" s="4">
        <f>VLOOKUP($A:$A,Sales!$B:$H,6,FALSE)</f>
        <v>45604</v>
      </c>
      <c r="K435" s="9">
        <f>VLOOKUP($A:$A,Sales!$B:$H,4,FALSE)</f>
        <v>2</v>
      </c>
      <c r="L435" s="5">
        <f t="shared" si="6"/>
        <v>35818</v>
      </c>
    </row>
    <row r="436" spans="1:12" x14ac:dyDescent="0.3">
      <c r="A436">
        <v>1231</v>
      </c>
      <c r="B436">
        <v>2009</v>
      </c>
      <c r="C436">
        <v>3017</v>
      </c>
      <c r="D436" t="str">
        <f>VLOOKUP('Sales table'!$A:$A,Customers!$A:$H,2,FALSE)</f>
        <v>William Campbell</v>
      </c>
      <c r="E436">
        <f>VLOOKUP('Sales table'!$A:$A,Customers!$A:$H,4,FALSE)</f>
        <v>37</v>
      </c>
      <c r="F436" t="str">
        <f>VLOOKUP('Sales table'!$A:$A,Customers!$A:$H,5,FALSE)</f>
        <v>Hyderabad</v>
      </c>
      <c r="G436" t="str">
        <f>VLOOKUP($B:$B,Products!$A:$D,2,FALSE)</f>
        <v>Bluetooth Speaker</v>
      </c>
      <c r="H436" t="str">
        <f>VLOOKUP($B:$B,Products!$A:$D,3,FALSE)</f>
        <v>Electronics</v>
      </c>
      <c r="I436">
        <f>VLOOKUP($B:$B,Products!$A:$D,4,FALSE)</f>
        <v>11047</v>
      </c>
      <c r="J436" s="4">
        <f>VLOOKUP($A:$A,Sales!$B:$H,6,FALSE)</f>
        <v>45606</v>
      </c>
      <c r="K436" s="9">
        <f>VLOOKUP($A:$A,Sales!$B:$H,4,FALSE)</f>
        <v>3</v>
      </c>
      <c r="L436" s="5">
        <f t="shared" si="6"/>
        <v>33141</v>
      </c>
    </row>
    <row r="437" spans="1:12" x14ac:dyDescent="0.3">
      <c r="A437">
        <v>1038</v>
      </c>
      <c r="B437">
        <v>2009</v>
      </c>
      <c r="C437">
        <v>3019</v>
      </c>
      <c r="D437" t="str">
        <f>VLOOKUP('Sales table'!$A:$A,Customers!$A:$H,2,FALSE)</f>
        <v>Eric Escobar</v>
      </c>
      <c r="E437">
        <f>VLOOKUP('Sales table'!$A:$A,Customers!$A:$H,4,FALSE)</f>
        <v>64</v>
      </c>
      <c r="F437" t="str">
        <f>VLOOKUP('Sales table'!$A:$A,Customers!$A:$H,5,FALSE)</f>
        <v>Pune</v>
      </c>
      <c r="G437" t="str">
        <f>VLOOKUP($B:$B,Products!$A:$D,2,FALSE)</f>
        <v>Bluetooth Speaker</v>
      </c>
      <c r="H437" t="str">
        <f>VLOOKUP($B:$B,Products!$A:$D,3,FALSE)</f>
        <v>Electronics</v>
      </c>
      <c r="I437">
        <f>VLOOKUP($B:$B,Products!$A:$D,4,FALSE)</f>
        <v>11047</v>
      </c>
      <c r="J437" s="4">
        <f>VLOOKUP($A:$A,Sales!$B:$H,6,FALSE)</f>
        <v>45604</v>
      </c>
      <c r="K437" s="9">
        <f>VLOOKUP($A:$A,Sales!$B:$H,4,FALSE)</f>
        <v>4</v>
      </c>
      <c r="L437" s="5">
        <f t="shared" si="6"/>
        <v>44188</v>
      </c>
    </row>
    <row r="438" spans="1:12" x14ac:dyDescent="0.3">
      <c r="A438">
        <v>1208</v>
      </c>
      <c r="B438">
        <v>2017</v>
      </c>
      <c r="C438">
        <v>3034</v>
      </c>
      <c r="D438" t="str">
        <f>VLOOKUP('Sales table'!$A:$A,Customers!$A:$H,2,FALSE)</f>
        <v>Kelly Lee</v>
      </c>
      <c r="E438">
        <f>VLOOKUP('Sales table'!$A:$A,Customers!$A:$H,4,FALSE)</f>
        <v>47</v>
      </c>
      <c r="F438" t="str">
        <f>VLOOKUP('Sales table'!$A:$A,Customers!$A:$H,5,FALSE)</f>
        <v>Delhi</v>
      </c>
      <c r="G438" t="str">
        <f>VLOOKUP($B:$B,Products!$A:$D,2,FALSE)</f>
        <v>Handmade Pottery</v>
      </c>
      <c r="H438" t="str">
        <f>VLOOKUP($B:$B,Products!$A:$D,3,FALSE)</f>
        <v>Home Decor</v>
      </c>
      <c r="I438">
        <f>VLOOKUP($B:$B,Products!$A:$D,4,FALSE)</f>
        <v>8186</v>
      </c>
      <c r="J438" s="4">
        <f>VLOOKUP($A:$A,Sales!$B:$H,6,FALSE)</f>
        <v>45597</v>
      </c>
      <c r="K438" s="9">
        <f>VLOOKUP($A:$A,Sales!$B:$H,4,FALSE)</f>
        <v>3</v>
      </c>
      <c r="L438" s="5">
        <f t="shared" si="6"/>
        <v>24558</v>
      </c>
    </row>
    <row r="439" spans="1:12" x14ac:dyDescent="0.3">
      <c r="A439">
        <v>1196</v>
      </c>
      <c r="B439">
        <v>2004</v>
      </c>
      <c r="C439">
        <v>3022</v>
      </c>
      <c r="D439" t="str">
        <f>VLOOKUP('Sales table'!$A:$A,Customers!$A:$H,2,FALSE)</f>
        <v>Cynthia Martin</v>
      </c>
      <c r="E439">
        <f>VLOOKUP('Sales table'!$A:$A,Customers!$A:$H,4,FALSE)</f>
        <v>20</v>
      </c>
      <c r="F439" t="str">
        <f>VLOOKUP('Sales table'!$A:$A,Customers!$A:$H,5,FALSE)</f>
        <v>Hyderabad</v>
      </c>
      <c r="G439" t="str">
        <f>VLOOKUP($B:$B,Products!$A:$D,2,FALSE)</f>
        <v>Smartphone</v>
      </c>
      <c r="H439" t="str">
        <f>VLOOKUP($B:$B,Products!$A:$D,3,FALSE)</f>
        <v>Electronics</v>
      </c>
      <c r="I439">
        <f>VLOOKUP($B:$B,Products!$A:$D,4,FALSE)</f>
        <v>4952</v>
      </c>
      <c r="J439" s="4">
        <f>VLOOKUP($A:$A,Sales!$B:$H,6,FALSE)</f>
        <v>45611</v>
      </c>
      <c r="K439" s="9">
        <f>VLOOKUP($A:$A,Sales!$B:$H,4,FALSE)</f>
        <v>2</v>
      </c>
      <c r="L439" s="5">
        <f t="shared" si="6"/>
        <v>9904</v>
      </c>
    </row>
    <row r="440" spans="1:12" x14ac:dyDescent="0.3">
      <c r="A440">
        <v>1263</v>
      </c>
      <c r="B440">
        <v>2010</v>
      </c>
      <c r="C440">
        <v>3031</v>
      </c>
      <c r="D440" t="str">
        <f>VLOOKUP('Sales table'!$A:$A,Customers!$A:$H,2,FALSE)</f>
        <v>Jordan Smith</v>
      </c>
      <c r="E440">
        <f>VLOOKUP('Sales table'!$A:$A,Customers!$A:$H,4,FALSE)</f>
        <v>38</v>
      </c>
      <c r="F440" t="str">
        <f>VLOOKUP('Sales table'!$A:$A,Customers!$A:$H,5,FALSE)</f>
        <v>Kolkata</v>
      </c>
      <c r="G440" t="str">
        <f>VLOOKUP($B:$B,Products!$A:$D,2,FALSE)</f>
        <v>Chocolate Box</v>
      </c>
      <c r="H440" t="str">
        <f>VLOOKUP($B:$B,Products!$A:$D,3,FALSE)</f>
        <v>Sweets &amp; Gifts</v>
      </c>
      <c r="I440">
        <f>VLOOKUP($B:$B,Products!$A:$D,4,FALSE)</f>
        <v>17909</v>
      </c>
      <c r="J440" s="4">
        <f>VLOOKUP($A:$A,Sales!$B:$H,6,FALSE)</f>
        <v>45581</v>
      </c>
      <c r="K440" s="9">
        <f>VLOOKUP($A:$A,Sales!$B:$H,4,FALSE)</f>
        <v>1</v>
      </c>
      <c r="L440" s="5">
        <f t="shared" si="6"/>
        <v>17909</v>
      </c>
    </row>
    <row r="441" spans="1:12" x14ac:dyDescent="0.3">
      <c r="A441">
        <v>1148</v>
      </c>
      <c r="B441">
        <v>2020</v>
      </c>
      <c r="C441">
        <v>3027</v>
      </c>
      <c r="D441" t="str">
        <f>VLOOKUP('Sales table'!$A:$A,Customers!$A:$H,2,FALSE)</f>
        <v>Kathryn Le</v>
      </c>
      <c r="E441">
        <f>VLOOKUP('Sales table'!$A:$A,Customers!$A:$H,4,FALSE)</f>
        <v>41</v>
      </c>
      <c r="F441" t="str">
        <f>VLOOKUP('Sales table'!$A:$A,Customers!$A:$H,5,FALSE)</f>
        <v>Pune</v>
      </c>
      <c r="G441" t="str">
        <f>VLOOKUP($B:$B,Products!$A:$D,2,FALSE)</f>
        <v>Ethnic Jewelry</v>
      </c>
      <c r="H441" t="str">
        <f>VLOOKUP($B:$B,Products!$A:$D,3,FALSE)</f>
        <v>Precious Items</v>
      </c>
      <c r="I441">
        <f>VLOOKUP($B:$B,Products!$A:$D,4,FALSE)</f>
        <v>4495</v>
      </c>
      <c r="J441" s="4">
        <f>VLOOKUP($A:$A,Sales!$B:$H,6,FALSE)</f>
        <v>45589</v>
      </c>
      <c r="K441" s="9">
        <f>VLOOKUP($A:$A,Sales!$B:$H,4,FALSE)</f>
        <v>2</v>
      </c>
      <c r="L441" s="5">
        <f t="shared" si="6"/>
        <v>8990</v>
      </c>
    </row>
    <row r="442" spans="1:12" x14ac:dyDescent="0.3">
      <c r="A442">
        <v>1052</v>
      </c>
      <c r="B442">
        <v>2021</v>
      </c>
      <c r="C442">
        <v>3028</v>
      </c>
      <c r="D442" t="str">
        <f>VLOOKUP('Sales table'!$A:$A,Customers!$A:$H,2,FALSE)</f>
        <v>Kristin Ayers</v>
      </c>
      <c r="E442">
        <f>VLOOKUP('Sales table'!$A:$A,Customers!$A:$H,4,FALSE)</f>
        <v>38</v>
      </c>
      <c r="F442" t="str">
        <f>VLOOKUP('Sales table'!$A:$A,Customers!$A:$H,5,FALSE)</f>
        <v>Bangalore</v>
      </c>
      <c r="G442" t="str">
        <f>VLOOKUP($B:$B,Products!$A:$D,2,FALSE)</f>
        <v>Smartwatch</v>
      </c>
      <c r="H442" t="str">
        <f>VLOOKUP($B:$B,Products!$A:$D,3,FALSE)</f>
        <v>Electronics</v>
      </c>
      <c r="I442">
        <f>VLOOKUP($B:$B,Products!$A:$D,4,FALSE)</f>
        <v>17586</v>
      </c>
      <c r="J442" s="4">
        <f>VLOOKUP($A:$A,Sales!$B:$H,6,FALSE)</f>
        <v>45613</v>
      </c>
      <c r="K442" s="9">
        <f>VLOOKUP($A:$A,Sales!$B:$H,4,FALSE)</f>
        <v>1</v>
      </c>
      <c r="L442" s="5">
        <f t="shared" si="6"/>
        <v>17586</v>
      </c>
    </row>
    <row r="443" spans="1:12" x14ac:dyDescent="0.3">
      <c r="A443">
        <v>1212</v>
      </c>
      <c r="B443">
        <v>2002</v>
      </c>
      <c r="C443">
        <v>3002</v>
      </c>
      <c r="D443" t="str">
        <f>VLOOKUP('Sales table'!$A:$A,Customers!$A:$H,2,FALSE)</f>
        <v>Ashley Green</v>
      </c>
      <c r="E443">
        <f>VLOOKUP('Sales table'!$A:$A,Customers!$A:$H,4,FALSE)</f>
        <v>41</v>
      </c>
      <c r="F443" t="str">
        <f>VLOOKUP('Sales table'!$A:$A,Customers!$A:$H,5,FALSE)</f>
        <v>Hyderabad</v>
      </c>
      <c r="G443" t="str">
        <f>VLOOKUP($B:$B,Products!$A:$D,2,FALSE)</f>
        <v>Saree</v>
      </c>
      <c r="H443" t="str">
        <f>VLOOKUP($B:$B,Products!$A:$D,3,FALSE)</f>
        <v>Clothing</v>
      </c>
      <c r="I443">
        <f>VLOOKUP($B:$B,Products!$A:$D,4,FALSE)</f>
        <v>9534</v>
      </c>
      <c r="J443" s="4">
        <f>VLOOKUP($A:$A,Sales!$B:$H,6,FALSE)</f>
        <v>45582</v>
      </c>
      <c r="K443" s="9">
        <f>VLOOKUP($A:$A,Sales!$B:$H,4,FALSE)</f>
        <v>4</v>
      </c>
      <c r="L443" s="5">
        <f t="shared" si="6"/>
        <v>38136</v>
      </c>
    </row>
    <row r="444" spans="1:12" x14ac:dyDescent="0.3">
      <c r="A444">
        <v>1022</v>
      </c>
      <c r="B444">
        <v>2002</v>
      </c>
      <c r="C444">
        <v>3014</v>
      </c>
      <c r="D444" t="str">
        <f>VLOOKUP('Sales table'!$A:$A,Customers!$A:$H,2,FALSE)</f>
        <v>Juan Foster</v>
      </c>
      <c r="E444">
        <f>VLOOKUP('Sales table'!$A:$A,Customers!$A:$H,4,FALSE)</f>
        <v>61</v>
      </c>
      <c r="F444" t="str">
        <f>VLOOKUP('Sales table'!$A:$A,Customers!$A:$H,5,FALSE)</f>
        <v>Kolkata</v>
      </c>
      <c r="G444" t="str">
        <f>VLOOKUP($B:$B,Products!$A:$D,2,FALSE)</f>
        <v>Saree</v>
      </c>
      <c r="H444" t="str">
        <f>VLOOKUP($B:$B,Products!$A:$D,3,FALSE)</f>
        <v>Clothing</v>
      </c>
      <c r="I444">
        <f>VLOOKUP($B:$B,Products!$A:$D,4,FALSE)</f>
        <v>9534</v>
      </c>
      <c r="J444" s="4">
        <f>VLOOKUP($A:$A,Sales!$B:$H,6,FALSE)</f>
        <v>45612</v>
      </c>
      <c r="K444" s="9">
        <f>VLOOKUP($A:$A,Sales!$B:$H,4,FALSE)</f>
        <v>2</v>
      </c>
      <c r="L444" s="5">
        <f t="shared" si="6"/>
        <v>19068</v>
      </c>
    </row>
    <row r="445" spans="1:12" x14ac:dyDescent="0.3">
      <c r="A445">
        <v>1173</v>
      </c>
      <c r="B445">
        <v>2004</v>
      </c>
      <c r="C445">
        <v>3009</v>
      </c>
      <c r="D445" t="str">
        <f>VLOOKUP('Sales table'!$A:$A,Customers!$A:$H,2,FALSE)</f>
        <v>Emily Martin</v>
      </c>
      <c r="E445">
        <f>VLOOKUP('Sales table'!$A:$A,Customers!$A:$H,4,FALSE)</f>
        <v>51</v>
      </c>
      <c r="F445" t="str">
        <f>VLOOKUP('Sales table'!$A:$A,Customers!$A:$H,5,FALSE)</f>
        <v>Chennai</v>
      </c>
      <c r="G445" t="str">
        <f>VLOOKUP($B:$B,Products!$A:$D,2,FALSE)</f>
        <v>Smartphone</v>
      </c>
      <c r="H445" t="str">
        <f>VLOOKUP($B:$B,Products!$A:$D,3,FALSE)</f>
        <v>Electronics</v>
      </c>
      <c r="I445">
        <f>VLOOKUP($B:$B,Products!$A:$D,4,FALSE)</f>
        <v>4952</v>
      </c>
      <c r="J445" s="4">
        <f>VLOOKUP($A:$A,Sales!$B:$H,6,FALSE)</f>
        <v>45604</v>
      </c>
      <c r="K445" s="9">
        <f>VLOOKUP($A:$A,Sales!$B:$H,4,FALSE)</f>
        <v>4</v>
      </c>
      <c r="L445" s="5">
        <f t="shared" si="6"/>
        <v>19808</v>
      </c>
    </row>
    <row r="446" spans="1:12" x14ac:dyDescent="0.3">
      <c r="A446">
        <v>1115</v>
      </c>
      <c r="B446">
        <v>2009</v>
      </c>
      <c r="C446">
        <v>3004</v>
      </c>
      <c r="D446" t="str">
        <f>VLOOKUP('Sales table'!$A:$A,Customers!$A:$H,2,FALSE)</f>
        <v>Valerie Winters</v>
      </c>
      <c r="E446">
        <f>VLOOKUP('Sales table'!$A:$A,Customers!$A:$H,4,FALSE)</f>
        <v>61</v>
      </c>
      <c r="F446" t="str">
        <f>VLOOKUP('Sales table'!$A:$A,Customers!$A:$H,5,FALSE)</f>
        <v>Delhi</v>
      </c>
      <c r="G446" t="str">
        <f>VLOOKUP($B:$B,Products!$A:$D,2,FALSE)</f>
        <v>Bluetooth Speaker</v>
      </c>
      <c r="H446" t="str">
        <f>VLOOKUP($B:$B,Products!$A:$D,3,FALSE)</f>
        <v>Electronics</v>
      </c>
      <c r="I446">
        <f>VLOOKUP($B:$B,Products!$A:$D,4,FALSE)</f>
        <v>11047</v>
      </c>
      <c r="J446" s="4">
        <f>VLOOKUP($A:$A,Sales!$B:$H,6,FALSE)</f>
        <v>45593</v>
      </c>
      <c r="K446" s="9">
        <f>VLOOKUP($A:$A,Sales!$B:$H,4,FALSE)</f>
        <v>4</v>
      </c>
      <c r="L446" s="5">
        <f t="shared" si="6"/>
        <v>44188</v>
      </c>
    </row>
    <row r="447" spans="1:12" x14ac:dyDescent="0.3">
      <c r="A447">
        <v>1163</v>
      </c>
      <c r="B447">
        <v>2009</v>
      </c>
      <c r="C447">
        <v>3033</v>
      </c>
      <c r="D447" t="str">
        <f>VLOOKUP('Sales table'!$A:$A,Customers!$A:$H,2,FALSE)</f>
        <v>Amy Hernandez</v>
      </c>
      <c r="E447">
        <f>VLOOKUP('Sales table'!$A:$A,Customers!$A:$H,4,FALSE)</f>
        <v>18</v>
      </c>
      <c r="F447" t="str">
        <f>VLOOKUP('Sales table'!$A:$A,Customers!$A:$H,5,FALSE)</f>
        <v>Chennai</v>
      </c>
      <c r="G447" t="str">
        <f>VLOOKUP($B:$B,Products!$A:$D,2,FALSE)</f>
        <v>Bluetooth Speaker</v>
      </c>
      <c r="H447" t="str">
        <f>VLOOKUP($B:$B,Products!$A:$D,3,FALSE)</f>
        <v>Electronics</v>
      </c>
      <c r="I447">
        <f>VLOOKUP($B:$B,Products!$A:$D,4,FALSE)</f>
        <v>11047</v>
      </c>
      <c r="J447" s="4">
        <f>VLOOKUP($A:$A,Sales!$B:$H,6,FALSE)</f>
        <v>45605</v>
      </c>
      <c r="K447" s="9">
        <f>VLOOKUP($A:$A,Sales!$B:$H,4,FALSE)</f>
        <v>4</v>
      </c>
      <c r="L447" s="5">
        <f t="shared" si="6"/>
        <v>44188</v>
      </c>
    </row>
    <row r="448" spans="1:12" x14ac:dyDescent="0.3">
      <c r="A448">
        <v>1244</v>
      </c>
      <c r="B448">
        <v>2015</v>
      </c>
      <c r="C448">
        <v>3029</v>
      </c>
      <c r="D448" t="str">
        <f>VLOOKUP('Sales table'!$A:$A,Customers!$A:$H,2,FALSE)</f>
        <v>Leonard Kim</v>
      </c>
      <c r="E448">
        <f>VLOOKUP('Sales table'!$A:$A,Customers!$A:$H,4,FALSE)</f>
        <v>18</v>
      </c>
      <c r="F448" t="str">
        <f>VLOOKUP('Sales table'!$A:$A,Customers!$A:$H,5,FALSE)</f>
        <v>Hyderabad</v>
      </c>
      <c r="G448" t="str">
        <f>VLOOKUP($B:$B,Products!$A:$D,2,FALSE)</f>
        <v>Candle Set</v>
      </c>
      <c r="H448" t="str">
        <f>VLOOKUP($B:$B,Products!$A:$D,3,FALSE)</f>
        <v>Home Decor</v>
      </c>
      <c r="I448">
        <f>VLOOKUP($B:$B,Products!$A:$D,4,FALSE)</f>
        <v>17604</v>
      </c>
      <c r="J448" s="4">
        <f>VLOOKUP($A:$A,Sales!$B:$H,6,FALSE)</f>
        <v>45589</v>
      </c>
      <c r="K448" s="9">
        <f>VLOOKUP($A:$A,Sales!$B:$H,4,FALSE)</f>
        <v>1</v>
      </c>
      <c r="L448" s="5">
        <f t="shared" si="6"/>
        <v>17604</v>
      </c>
    </row>
    <row r="449" spans="1:12" x14ac:dyDescent="0.3">
      <c r="A449">
        <v>1096</v>
      </c>
      <c r="B449">
        <v>2023</v>
      </c>
      <c r="C449">
        <v>3018</v>
      </c>
      <c r="D449" t="str">
        <f>VLOOKUP('Sales table'!$A:$A,Customers!$A:$H,2,FALSE)</f>
        <v>Morgan Webb</v>
      </c>
      <c r="E449">
        <f>VLOOKUP('Sales table'!$A:$A,Customers!$A:$H,4,FALSE)</f>
        <v>60</v>
      </c>
      <c r="F449" t="str">
        <f>VLOOKUP('Sales table'!$A:$A,Customers!$A:$H,5,FALSE)</f>
        <v>Mumbai</v>
      </c>
      <c r="G449" t="str">
        <f>VLOOKUP($B:$B,Products!$A:$D,2,FALSE)</f>
        <v>Kids Wear</v>
      </c>
      <c r="H449" t="str">
        <f>VLOOKUP($B:$B,Products!$A:$D,3,FALSE)</f>
        <v>Clothing</v>
      </c>
      <c r="I449">
        <f>VLOOKUP($B:$B,Products!$A:$D,4,FALSE)</f>
        <v>4794</v>
      </c>
      <c r="J449" s="4">
        <f>VLOOKUP($A:$A,Sales!$B:$H,6,FALSE)</f>
        <v>45616</v>
      </c>
      <c r="K449" s="9">
        <f>VLOOKUP($A:$A,Sales!$B:$H,4,FALSE)</f>
        <v>4</v>
      </c>
      <c r="L449" s="5">
        <f t="shared" si="6"/>
        <v>19176</v>
      </c>
    </row>
    <row r="450" spans="1:12" x14ac:dyDescent="0.3">
      <c r="A450">
        <v>1294</v>
      </c>
      <c r="B450">
        <v>2001</v>
      </c>
      <c r="C450">
        <v>3032</v>
      </c>
      <c r="D450" t="str">
        <f>VLOOKUP('Sales table'!$A:$A,Customers!$A:$H,2,FALSE)</f>
        <v>Nathaniel Beck</v>
      </c>
      <c r="E450">
        <f>VLOOKUP('Sales table'!$A:$A,Customers!$A:$H,4,FALSE)</f>
        <v>36</v>
      </c>
      <c r="F450" t="str">
        <f>VLOOKUP('Sales table'!$A:$A,Customers!$A:$H,5,FALSE)</f>
        <v>Kolkata</v>
      </c>
      <c r="G450" t="str">
        <f>VLOOKUP($B:$B,Products!$A:$D,2,FALSE)</f>
        <v>Sweets Box</v>
      </c>
      <c r="H450" t="str">
        <f>VLOOKUP($B:$B,Products!$A:$D,3,FALSE)</f>
        <v>Sweets &amp; Gifts</v>
      </c>
      <c r="I450">
        <f>VLOOKUP($B:$B,Products!$A:$D,4,FALSE)</f>
        <v>7228</v>
      </c>
      <c r="J450" s="4">
        <f>VLOOKUP($A:$A,Sales!$B:$H,6,FALSE)</f>
        <v>45585</v>
      </c>
      <c r="K450" s="9">
        <f>VLOOKUP($A:$A,Sales!$B:$H,4,FALSE)</f>
        <v>5</v>
      </c>
      <c r="L450" s="5">
        <f t="shared" si="6"/>
        <v>36140</v>
      </c>
    </row>
    <row r="451" spans="1:12" x14ac:dyDescent="0.3">
      <c r="A451">
        <v>1104</v>
      </c>
      <c r="B451">
        <v>2006</v>
      </c>
      <c r="C451">
        <v>3015</v>
      </c>
      <c r="D451" t="str">
        <f>VLOOKUP('Sales table'!$A:$A,Customers!$A:$H,2,FALSE)</f>
        <v>Gabriel Mcdonald</v>
      </c>
      <c r="E451">
        <f>VLOOKUP('Sales table'!$A:$A,Customers!$A:$H,4,FALSE)</f>
        <v>50</v>
      </c>
      <c r="F451" t="str">
        <f>VLOOKUP('Sales table'!$A:$A,Customers!$A:$H,5,FALSE)</f>
        <v>Hyderabad</v>
      </c>
      <c r="G451" t="str">
        <f>VLOOKUP($B:$B,Products!$A:$D,2,FALSE)</f>
        <v>Crackers Pack</v>
      </c>
      <c r="H451" t="str">
        <f>VLOOKUP($B:$B,Products!$A:$D,3,FALSE)</f>
        <v>Crackers</v>
      </c>
      <c r="I451">
        <f>VLOOKUP($B:$B,Products!$A:$D,4,FALSE)</f>
        <v>12060</v>
      </c>
      <c r="J451" s="4">
        <f>VLOOKUP($A:$A,Sales!$B:$H,6,FALSE)</f>
        <v>45605</v>
      </c>
      <c r="K451" s="9">
        <f>VLOOKUP($A:$A,Sales!$B:$H,4,FALSE)</f>
        <v>1</v>
      </c>
      <c r="L451" s="5">
        <f t="shared" ref="L451:L514" si="7">I451*K451</f>
        <v>12060</v>
      </c>
    </row>
    <row r="452" spans="1:12" x14ac:dyDescent="0.3">
      <c r="A452">
        <v>1218</v>
      </c>
      <c r="B452">
        <v>2016</v>
      </c>
      <c r="C452">
        <v>3025</v>
      </c>
      <c r="D452" t="str">
        <f>VLOOKUP('Sales table'!$A:$A,Customers!$A:$H,2,FALSE)</f>
        <v>Robert Baker</v>
      </c>
      <c r="E452">
        <f>VLOOKUP('Sales table'!$A:$A,Customers!$A:$H,4,FALSE)</f>
        <v>22</v>
      </c>
      <c r="F452" t="str">
        <f>VLOOKUP('Sales table'!$A:$A,Customers!$A:$H,5,FALSE)</f>
        <v>Pune</v>
      </c>
      <c r="G452" t="str">
        <f>VLOOKUP($B:$B,Products!$A:$D,2,FALSE)</f>
        <v>Fairy Lights</v>
      </c>
      <c r="H452" t="str">
        <f>VLOOKUP($B:$B,Products!$A:$D,3,FALSE)</f>
        <v>Home Decor</v>
      </c>
      <c r="I452">
        <f>VLOOKUP($B:$B,Products!$A:$D,4,FALSE)</f>
        <v>12242</v>
      </c>
      <c r="J452" s="4">
        <f>VLOOKUP($A:$A,Sales!$B:$H,6,FALSE)</f>
        <v>45594</v>
      </c>
      <c r="K452" s="9">
        <f>VLOOKUP($A:$A,Sales!$B:$H,4,FALSE)</f>
        <v>3</v>
      </c>
      <c r="L452" s="5">
        <f t="shared" si="7"/>
        <v>36726</v>
      </c>
    </row>
    <row r="453" spans="1:12" x14ac:dyDescent="0.3">
      <c r="A453">
        <v>1043</v>
      </c>
      <c r="B453">
        <v>2002</v>
      </c>
      <c r="C453">
        <v>3007</v>
      </c>
      <c r="D453" t="str">
        <f>VLOOKUP('Sales table'!$A:$A,Customers!$A:$H,2,FALSE)</f>
        <v>Brenda Foster</v>
      </c>
      <c r="E453">
        <f>VLOOKUP('Sales table'!$A:$A,Customers!$A:$H,4,FALSE)</f>
        <v>49</v>
      </c>
      <c r="F453" t="str">
        <f>VLOOKUP('Sales table'!$A:$A,Customers!$A:$H,5,FALSE)</f>
        <v>Bangalore</v>
      </c>
      <c r="G453" t="str">
        <f>VLOOKUP($B:$B,Products!$A:$D,2,FALSE)</f>
        <v>Saree</v>
      </c>
      <c r="H453" t="str">
        <f>VLOOKUP($B:$B,Products!$A:$D,3,FALSE)</f>
        <v>Clothing</v>
      </c>
      <c r="I453">
        <f>VLOOKUP($B:$B,Products!$A:$D,4,FALSE)</f>
        <v>9534</v>
      </c>
      <c r="J453" s="4">
        <f>VLOOKUP($A:$A,Sales!$B:$H,6,FALSE)</f>
        <v>45601</v>
      </c>
      <c r="K453" s="9">
        <f>VLOOKUP($A:$A,Sales!$B:$H,4,FALSE)</f>
        <v>2</v>
      </c>
      <c r="L453" s="5">
        <f t="shared" si="7"/>
        <v>19068</v>
      </c>
    </row>
    <row r="454" spans="1:12" x14ac:dyDescent="0.3">
      <c r="A454">
        <v>1286</v>
      </c>
      <c r="B454">
        <v>2012</v>
      </c>
      <c r="C454">
        <v>3009</v>
      </c>
      <c r="D454" t="str">
        <f>VLOOKUP('Sales table'!$A:$A,Customers!$A:$H,2,FALSE)</f>
        <v>Anthony Taylor</v>
      </c>
      <c r="E454">
        <f>VLOOKUP('Sales table'!$A:$A,Customers!$A:$H,4,FALSE)</f>
        <v>33</v>
      </c>
      <c r="F454" t="str">
        <f>VLOOKUP('Sales table'!$A:$A,Customers!$A:$H,5,FALSE)</f>
        <v>Mumbai</v>
      </c>
      <c r="G454" t="str">
        <f>VLOOKUP($B:$B,Products!$A:$D,2,FALSE)</f>
        <v>Wall Hanging</v>
      </c>
      <c r="H454" t="str">
        <f>VLOOKUP($B:$B,Products!$A:$D,3,FALSE)</f>
        <v>Home Decor</v>
      </c>
      <c r="I454">
        <f>VLOOKUP($B:$B,Products!$A:$D,4,FALSE)</f>
        <v>11867</v>
      </c>
      <c r="J454" s="4">
        <f>VLOOKUP($A:$A,Sales!$B:$H,6,FALSE)</f>
        <v>45595</v>
      </c>
      <c r="K454" s="9">
        <f>VLOOKUP($A:$A,Sales!$B:$H,4,FALSE)</f>
        <v>1</v>
      </c>
      <c r="L454" s="5">
        <f t="shared" si="7"/>
        <v>11867</v>
      </c>
    </row>
    <row r="455" spans="1:12" x14ac:dyDescent="0.3">
      <c r="A455">
        <v>1193</v>
      </c>
      <c r="B455">
        <v>2021</v>
      </c>
      <c r="C455">
        <v>3017</v>
      </c>
      <c r="D455" t="str">
        <f>VLOOKUP('Sales table'!$A:$A,Customers!$A:$H,2,FALSE)</f>
        <v>Margaret Schwartz</v>
      </c>
      <c r="E455">
        <f>VLOOKUP('Sales table'!$A:$A,Customers!$A:$H,4,FALSE)</f>
        <v>25</v>
      </c>
      <c r="F455" t="str">
        <f>VLOOKUP('Sales table'!$A:$A,Customers!$A:$H,5,FALSE)</f>
        <v>Mumbai</v>
      </c>
      <c r="G455" t="str">
        <f>VLOOKUP($B:$B,Products!$A:$D,2,FALSE)</f>
        <v>Smartwatch</v>
      </c>
      <c r="H455" t="str">
        <f>VLOOKUP($B:$B,Products!$A:$D,3,FALSE)</f>
        <v>Electronics</v>
      </c>
      <c r="I455">
        <f>VLOOKUP($B:$B,Products!$A:$D,4,FALSE)</f>
        <v>17586</v>
      </c>
      <c r="J455" s="4">
        <f>VLOOKUP($A:$A,Sales!$B:$H,6,FALSE)</f>
        <v>45598</v>
      </c>
      <c r="K455" s="9">
        <f>VLOOKUP($A:$A,Sales!$B:$H,4,FALSE)</f>
        <v>5</v>
      </c>
      <c r="L455" s="5">
        <f t="shared" si="7"/>
        <v>87930</v>
      </c>
    </row>
    <row r="456" spans="1:12" x14ac:dyDescent="0.3">
      <c r="A456">
        <v>1227</v>
      </c>
      <c r="B456">
        <v>2011</v>
      </c>
      <c r="C456">
        <v>3016</v>
      </c>
      <c r="D456" t="str">
        <f>VLOOKUP('Sales table'!$A:$A,Customers!$A:$H,2,FALSE)</f>
        <v>Stephanie Campbell</v>
      </c>
      <c r="E456">
        <f>VLOOKUP('Sales table'!$A:$A,Customers!$A:$H,4,FALSE)</f>
        <v>42</v>
      </c>
      <c r="F456" t="str">
        <f>VLOOKUP('Sales table'!$A:$A,Customers!$A:$H,5,FALSE)</f>
        <v>Chennai</v>
      </c>
      <c r="G456" t="str">
        <f>VLOOKUP($B:$B,Products!$A:$D,2,FALSE)</f>
        <v>Festive Thali</v>
      </c>
      <c r="H456" t="str">
        <f>VLOOKUP($B:$B,Products!$A:$D,3,FALSE)</f>
        <v>Other</v>
      </c>
      <c r="I456">
        <f>VLOOKUP($B:$B,Products!$A:$D,4,FALSE)</f>
        <v>7481</v>
      </c>
      <c r="J456" s="4">
        <f>VLOOKUP($A:$A,Sales!$B:$H,6,FALSE)</f>
        <v>45596</v>
      </c>
      <c r="K456" s="9">
        <f>VLOOKUP($A:$A,Sales!$B:$H,4,FALSE)</f>
        <v>5</v>
      </c>
      <c r="L456" s="5">
        <f t="shared" si="7"/>
        <v>37405</v>
      </c>
    </row>
    <row r="457" spans="1:12" x14ac:dyDescent="0.3">
      <c r="A457">
        <v>1062</v>
      </c>
      <c r="B457">
        <v>2022</v>
      </c>
      <c r="C457">
        <v>3032</v>
      </c>
      <c r="D457" t="str">
        <f>VLOOKUP('Sales table'!$A:$A,Customers!$A:$H,2,FALSE)</f>
        <v>William Murphy</v>
      </c>
      <c r="E457">
        <f>VLOOKUP('Sales table'!$A:$A,Customers!$A:$H,4,FALSE)</f>
        <v>34</v>
      </c>
      <c r="F457" t="str">
        <f>VLOOKUP('Sales table'!$A:$A,Customers!$A:$H,5,FALSE)</f>
        <v>Chennai</v>
      </c>
      <c r="G457" t="str">
        <f>VLOOKUP($B:$B,Products!$A:$D,2,FALSE)</f>
        <v>Home Decor Statue</v>
      </c>
      <c r="H457" t="str">
        <f>VLOOKUP($B:$B,Products!$A:$D,3,FALSE)</f>
        <v>Home Decor</v>
      </c>
      <c r="I457">
        <f>VLOOKUP($B:$B,Products!$A:$D,4,FALSE)</f>
        <v>17149</v>
      </c>
      <c r="J457" s="4">
        <f>VLOOKUP($A:$A,Sales!$B:$H,6,FALSE)</f>
        <v>45590</v>
      </c>
      <c r="K457" s="9">
        <f>VLOOKUP($A:$A,Sales!$B:$H,4,FALSE)</f>
        <v>1</v>
      </c>
      <c r="L457" s="5">
        <f t="shared" si="7"/>
        <v>17149</v>
      </c>
    </row>
    <row r="458" spans="1:12" x14ac:dyDescent="0.3">
      <c r="A458">
        <v>1141</v>
      </c>
      <c r="B458">
        <v>2002</v>
      </c>
      <c r="C458">
        <v>3013</v>
      </c>
      <c r="D458" t="str">
        <f>VLOOKUP('Sales table'!$A:$A,Customers!$A:$H,2,FALSE)</f>
        <v>Pamela Smith</v>
      </c>
      <c r="E458">
        <f>VLOOKUP('Sales table'!$A:$A,Customers!$A:$H,4,FALSE)</f>
        <v>40</v>
      </c>
      <c r="F458" t="str">
        <f>VLOOKUP('Sales table'!$A:$A,Customers!$A:$H,5,FALSE)</f>
        <v>Bangalore</v>
      </c>
      <c r="G458" t="str">
        <f>VLOOKUP($B:$B,Products!$A:$D,2,FALSE)</f>
        <v>Saree</v>
      </c>
      <c r="H458" t="str">
        <f>VLOOKUP($B:$B,Products!$A:$D,3,FALSE)</f>
        <v>Clothing</v>
      </c>
      <c r="I458">
        <f>VLOOKUP($B:$B,Products!$A:$D,4,FALSE)</f>
        <v>9534</v>
      </c>
      <c r="J458" s="4">
        <f>VLOOKUP($A:$A,Sales!$B:$H,6,FALSE)</f>
        <v>45584</v>
      </c>
      <c r="K458" s="9">
        <f>VLOOKUP($A:$A,Sales!$B:$H,4,FALSE)</f>
        <v>5</v>
      </c>
      <c r="L458" s="5">
        <f t="shared" si="7"/>
        <v>47670</v>
      </c>
    </row>
    <row r="459" spans="1:12" x14ac:dyDescent="0.3">
      <c r="A459">
        <v>1188</v>
      </c>
      <c r="B459">
        <v>2021</v>
      </c>
      <c r="C459">
        <v>3015</v>
      </c>
      <c r="D459" t="str">
        <f>VLOOKUP('Sales table'!$A:$A,Customers!$A:$H,2,FALSE)</f>
        <v>Timothy Graham</v>
      </c>
      <c r="E459">
        <f>VLOOKUP('Sales table'!$A:$A,Customers!$A:$H,4,FALSE)</f>
        <v>33</v>
      </c>
      <c r="F459" t="str">
        <f>VLOOKUP('Sales table'!$A:$A,Customers!$A:$H,5,FALSE)</f>
        <v>Kolkata</v>
      </c>
      <c r="G459" t="str">
        <f>VLOOKUP($B:$B,Products!$A:$D,2,FALSE)</f>
        <v>Smartwatch</v>
      </c>
      <c r="H459" t="str">
        <f>VLOOKUP($B:$B,Products!$A:$D,3,FALSE)</f>
        <v>Electronics</v>
      </c>
      <c r="I459">
        <f>VLOOKUP($B:$B,Products!$A:$D,4,FALSE)</f>
        <v>17586</v>
      </c>
      <c r="J459" s="4">
        <f>VLOOKUP($A:$A,Sales!$B:$H,6,FALSE)</f>
        <v>45581</v>
      </c>
      <c r="K459" s="9">
        <f>VLOOKUP($A:$A,Sales!$B:$H,4,FALSE)</f>
        <v>3</v>
      </c>
      <c r="L459" s="5">
        <f t="shared" si="7"/>
        <v>52758</v>
      </c>
    </row>
    <row r="460" spans="1:12" x14ac:dyDescent="0.3">
      <c r="A460">
        <v>1236</v>
      </c>
      <c r="B460">
        <v>2014</v>
      </c>
      <c r="C460">
        <v>3004</v>
      </c>
      <c r="D460" t="str">
        <f>VLOOKUP('Sales table'!$A:$A,Customers!$A:$H,2,FALSE)</f>
        <v>Kimberly Clay</v>
      </c>
      <c r="E460">
        <f>VLOOKUP('Sales table'!$A:$A,Customers!$A:$H,4,FALSE)</f>
        <v>60</v>
      </c>
      <c r="F460" t="str">
        <f>VLOOKUP('Sales table'!$A:$A,Customers!$A:$H,5,FALSE)</f>
        <v>Delhi</v>
      </c>
      <c r="G460" t="str">
        <f>VLOOKUP($B:$B,Products!$A:$D,2,FALSE)</f>
        <v>Gold Coin</v>
      </c>
      <c r="H460" t="str">
        <f>VLOOKUP($B:$B,Products!$A:$D,3,FALSE)</f>
        <v>Precious Items</v>
      </c>
      <c r="I460">
        <f>VLOOKUP($B:$B,Products!$A:$D,4,FALSE)</f>
        <v>13823</v>
      </c>
      <c r="J460" s="4">
        <f>VLOOKUP($A:$A,Sales!$B:$H,6,FALSE)</f>
        <v>45598</v>
      </c>
      <c r="K460" s="9">
        <f>VLOOKUP($A:$A,Sales!$B:$H,4,FALSE)</f>
        <v>3</v>
      </c>
      <c r="L460" s="5">
        <f t="shared" si="7"/>
        <v>41469</v>
      </c>
    </row>
    <row r="461" spans="1:12" x14ac:dyDescent="0.3">
      <c r="A461">
        <v>1212</v>
      </c>
      <c r="B461">
        <v>2010</v>
      </c>
      <c r="C461">
        <v>3025</v>
      </c>
      <c r="D461" t="str">
        <f>VLOOKUP('Sales table'!$A:$A,Customers!$A:$H,2,FALSE)</f>
        <v>Ashley Green</v>
      </c>
      <c r="E461">
        <f>VLOOKUP('Sales table'!$A:$A,Customers!$A:$H,4,FALSE)</f>
        <v>41</v>
      </c>
      <c r="F461" t="str">
        <f>VLOOKUP('Sales table'!$A:$A,Customers!$A:$H,5,FALSE)</f>
        <v>Hyderabad</v>
      </c>
      <c r="G461" t="str">
        <f>VLOOKUP($B:$B,Products!$A:$D,2,FALSE)</f>
        <v>Chocolate Box</v>
      </c>
      <c r="H461" t="str">
        <f>VLOOKUP($B:$B,Products!$A:$D,3,FALSE)</f>
        <v>Sweets &amp; Gifts</v>
      </c>
      <c r="I461">
        <f>VLOOKUP($B:$B,Products!$A:$D,4,FALSE)</f>
        <v>17909</v>
      </c>
      <c r="J461" s="4">
        <f>VLOOKUP($A:$A,Sales!$B:$H,6,FALSE)</f>
        <v>45582</v>
      </c>
      <c r="K461" s="9">
        <f>VLOOKUP($A:$A,Sales!$B:$H,4,FALSE)</f>
        <v>4</v>
      </c>
      <c r="L461" s="5">
        <f t="shared" si="7"/>
        <v>71636</v>
      </c>
    </row>
    <row r="462" spans="1:12" x14ac:dyDescent="0.3">
      <c r="A462">
        <v>1158</v>
      </c>
      <c r="B462">
        <v>2022</v>
      </c>
      <c r="C462">
        <v>3029</v>
      </c>
      <c r="D462" t="str">
        <f>VLOOKUP('Sales table'!$A:$A,Customers!$A:$H,2,FALSE)</f>
        <v>David Smith</v>
      </c>
      <c r="E462">
        <f>VLOOKUP('Sales table'!$A:$A,Customers!$A:$H,4,FALSE)</f>
        <v>59</v>
      </c>
      <c r="F462" t="str">
        <f>VLOOKUP('Sales table'!$A:$A,Customers!$A:$H,5,FALSE)</f>
        <v>Mumbai</v>
      </c>
      <c r="G462" t="str">
        <f>VLOOKUP($B:$B,Products!$A:$D,2,FALSE)</f>
        <v>Home Decor Statue</v>
      </c>
      <c r="H462" t="str">
        <f>VLOOKUP($B:$B,Products!$A:$D,3,FALSE)</f>
        <v>Home Decor</v>
      </c>
      <c r="I462">
        <f>VLOOKUP($B:$B,Products!$A:$D,4,FALSE)</f>
        <v>17149</v>
      </c>
      <c r="J462" s="4">
        <f>VLOOKUP($A:$A,Sales!$B:$H,6,FALSE)</f>
        <v>45580</v>
      </c>
      <c r="K462" s="9">
        <f>VLOOKUP($A:$A,Sales!$B:$H,4,FALSE)</f>
        <v>1</v>
      </c>
      <c r="L462" s="5">
        <f t="shared" si="7"/>
        <v>17149</v>
      </c>
    </row>
    <row r="463" spans="1:12" x14ac:dyDescent="0.3">
      <c r="A463">
        <v>1168</v>
      </c>
      <c r="B463">
        <v>2003</v>
      </c>
      <c r="C463">
        <v>3003</v>
      </c>
      <c r="D463" t="str">
        <f>VLOOKUP('Sales table'!$A:$A,Customers!$A:$H,2,FALSE)</f>
        <v>John Daniels</v>
      </c>
      <c r="E463">
        <f>VLOOKUP('Sales table'!$A:$A,Customers!$A:$H,4,FALSE)</f>
        <v>40</v>
      </c>
      <c r="F463" t="str">
        <f>VLOOKUP('Sales table'!$A:$A,Customers!$A:$H,5,FALSE)</f>
        <v>Kolkata</v>
      </c>
      <c r="G463" t="str">
        <f>VLOOKUP($B:$B,Products!$A:$D,2,FALSE)</f>
        <v>Kurta</v>
      </c>
      <c r="H463" t="str">
        <f>VLOOKUP($B:$B,Products!$A:$D,3,FALSE)</f>
        <v>Clothing</v>
      </c>
      <c r="I463">
        <f>VLOOKUP($B:$B,Products!$A:$D,4,FALSE)</f>
        <v>13241</v>
      </c>
      <c r="J463" s="4">
        <f>VLOOKUP($A:$A,Sales!$B:$H,6,FALSE)</f>
        <v>45595</v>
      </c>
      <c r="K463" s="9">
        <f>VLOOKUP($A:$A,Sales!$B:$H,4,FALSE)</f>
        <v>5</v>
      </c>
      <c r="L463" s="5">
        <f t="shared" si="7"/>
        <v>66205</v>
      </c>
    </row>
    <row r="464" spans="1:12" x14ac:dyDescent="0.3">
      <c r="A464">
        <v>1039</v>
      </c>
      <c r="B464">
        <v>2020</v>
      </c>
      <c r="C464">
        <v>3026</v>
      </c>
      <c r="D464" t="str">
        <f>VLOOKUP('Sales table'!$A:$A,Customers!$A:$H,2,FALSE)</f>
        <v>Carol Allen</v>
      </c>
      <c r="E464">
        <f>VLOOKUP('Sales table'!$A:$A,Customers!$A:$H,4,FALSE)</f>
        <v>22</v>
      </c>
      <c r="F464" t="str">
        <f>VLOOKUP('Sales table'!$A:$A,Customers!$A:$H,5,FALSE)</f>
        <v>Bangalore</v>
      </c>
      <c r="G464" t="str">
        <f>VLOOKUP($B:$B,Products!$A:$D,2,FALSE)</f>
        <v>Ethnic Jewelry</v>
      </c>
      <c r="H464" t="str">
        <f>VLOOKUP($B:$B,Products!$A:$D,3,FALSE)</f>
        <v>Precious Items</v>
      </c>
      <c r="I464">
        <f>VLOOKUP($B:$B,Products!$A:$D,4,FALSE)</f>
        <v>4495</v>
      </c>
      <c r="J464" s="4">
        <f>VLOOKUP($A:$A,Sales!$B:$H,6,FALSE)</f>
        <v>45613</v>
      </c>
      <c r="K464" s="9">
        <f>VLOOKUP($A:$A,Sales!$B:$H,4,FALSE)</f>
        <v>1</v>
      </c>
      <c r="L464" s="5">
        <f t="shared" si="7"/>
        <v>4495</v>
      </c>
    </row>
    <row r="465" spans="1:12" x14ac:dyDescent="0.3">
      <c r="A465">
        <v>1251</v>
      </c>
      <c r="B465">
        <v>2004</v>
      </c>
      <c r="C465">
        <v>3011</v>
      </c>
      <c r="D465" t="str">
        <f>VLOOKUP('Sales table'!$A:$A,Customers!$A:$H,2,FALSE)</f>
        <v>Zachary Browning</v>
      </c>
      <c r="E465">
        <f>VLOOKUP('Sales table'!$A:$A,Customers!$A:$H,4,FALSE)</f>
        <v>20</v>
      </c>
      <c r="F465" t="str">
        <f>VLOOKUP('Sales table'!$A:$A,Customers!$A:$H,5,FALSE)</f>
        <v>Hyderabad</v>
      </c>
      <c r="G465" t="str">
        <f>VLOOKUP($B:$B,Products!$A:$D,2,FALSE)</f>
        <v>Smartphone</v>
      </c>
      <c r="H465" t="str">
        <f>VLOOKUP($B:$B,Products!$A:$D,3,FALSE)</f>
        <v>Electronics</v>
      </c>
      <c r="I465">
        <f>VLOOKUP($B:$B,Products!$A:$D,4,FALSE)</f>
        <v>4952</v>
      </c>
      <c r="J465" s="4">
        <f>VLOOKUP($A:$A,Sales!$B:$H,6,FALSE)</f>
        <v>45612</v>
      </c>
      <c r="K465" s="9">
        <f>VLOOKUP($A:$A,Sales!$B:$H,4,FALSE)</f>
        <v>1</v>
      </c>
      <c r="L465" s="5">
        <f t="shared" si="7"/>
        <v>4952</v>
      </c>
    </row>
    <row r="466" spans="1:12" x14ac:dyDescent="0.3">
      <c r="A466">
        <v>1095</v>
      </c>
      <c r="B466">
        <v>2016</v>
      </c>
      <c r="C466">
        <v>3006</v>
      </c>
      <c r="D466" t="str">
        <f>VLOOKUP('Sales table'!$A:$A,Customers!$A:$H,2,FALSE)</f>
        <v>Edward Johnson</v>
      </c>
      <c r="E466">
        <f>VLOOKUP('Sales table'!$A:$A,Customers!$A:$H,4,FALSE)</f>
        <v>49</v>
      </c>
      <c r="F466" t="str">
        <f>VLOOKUP('Sales table'!$A:$A,Customers!$A:$H,5,FALSE)</f>
        <v>Kolkata</v>
      </c>
      <c r="G466" t="str">
        <f>VLOOKUP($B:$B,Products!$A:$D,2,FALSE)</f>
        <v>Fairy Lights</v>
      </c>
      <c r="H466" t="str">
        <f>VLOOKUP($B:$B,Products!$A:$D,3,FALSE)</f>
        <v>Home Decor</v>
      </c>
      <c r="I466">
        <f>VLOOKUP($B:$B,Products!$A:$D,4,FALSE)</f>
        <v>12242</v>
      </c>
      <c r="J466" s="4">
        <f>VLOOKUP($A:$A,Sales!$B:$H,6,FALSE)</f>
        <v>45594</v>
      </c>
      <c r="K466" s="9">
        <f>VLOOKUP($A:$A,Sales!$B:$H,4,FALSE)</f>
        <v>1</v>
      </c>
      <c r="L466" s="5">
        <f t="shared" si="7"/>
        <v>12242</v>
      </c>
    </row>
    <row r="467" spans="1:12" x14ac:dyDescent="0.3">
      <c r="A467">
        <v>1180</v>
      </c>
      <c r="B467">
        <v>2022</v>
      </c>
      <c r="C467">
        <v>3034</v>
      </c>
      <c r="D467" t="str">
        <f>VLOOKUP('Sales table'!$A:$A,Customers!$A:$H,2,FALSE)</f>
        <v>Amber Valdez</v>
      </c>
      <c r="E467">
        <f>VLOOKUP('Sales table'!$A:$A,Customers!$A:$H,4,FALSE)</f>
        <v>59</v>
      </c>
      <c r="F467" t="str">
        <f>VLOOKUP('Sales table'!$A:$A,Customers!$A:$H,5,FALSE)</f>
        <v>Chennai</v>
      </c>
      <c r="G467" t="str">
        <f>VLOOKUP($B:$B,Products!$A:$D,2,FALSE)</f>
        <v>Home Decor Statue</v>
      </c>
      <c r="H467" t="str">
        <f>VLOOKUP($B:$B,Products!$A:$D,3,FALSE)</f>
        <v>Home Decor</v>
      </c>
      <c r="I467">
        <f>VLOOKUP($B:$B,Products!$A:$D,4,FALSE)</f>
        <v>17149</v>
      </c>
      <c r="J467" s="4">
        <f>VLOOKUP($A:$A,Sales!$B:$H,6,FALSE)</f>
        <v>45605</v>
      </c>
      <c r="K467" s="9">
        <f>VLOOKUP($A:$A,Sales!$B:$H,4,FALSE)</f>
        <v>4</v>
      </c>
      <c r="L467" s="5">
        <f t="shared" si="7"/>
        <v>68596</v>
      </c>
    </row>
    <row r="468" spans="1:12" x14ac:dyDescent="0.3">
      <c r="A468">
        <v>1173</v>
      </c>
      <c r="B468">
        <v>2002</v>
      </c>
      <c r="C468">
        <v>3003</v>
      </c>
      <c r="D468" t="str">
        <f>VLOOKUP('Sales table'!$A:$A,Customers!$A:$H,2,FALSE)</f>
        <v>Emily Martin</v>
      </c>
      <c r="E468">
        <f>VLOOKUP('Sales table'!$A:$A,Customers!$A:$H,4,FALSE)</f>
        <v>51</v>
      </c>
      <c r="F468" t="str">
        <f>VLOOKUP('Sales table'!$A:$A,Customers!$A:$H,5,FALSE)</f>
        <v>Chennai</v>
      </c>
      <c r="G468" t="str">
        <f>VLOOKUP($B:$B,Products!$A:$D,2,FALSE)</f>
        <v>Saree</v>
      </c>
      <c r="H468" t="str">
        <f>VLOOKUP($B:$B,Products!$A:$D,3,FALSE)</f>
        <v>Clothing</v>
      </c>
      <c r="I468">
        <f>VLOOKUP($B:$B,Products!$A:$D,4,FALSE)</f>
        <v>9534</v>
      </c>
      <c r="J468" s="4">
        <f>VLOOKUP($A:$A,Sales!$B:$H,6,FALSE)</f>
        <v>45604</v>
      </c>
      <c r="K468" s="9">
        <f>VLOOKUP($A:$A,Sales!$B:$H,4,FALSE)</f>
        <v>4</v>
      </c>
      <c r="L468" s="5">
        <f t="shared" si="7"/>
        <v>38136</v>
      </c>
    </row>
    <row r="469" spans="1:12" x14ac:dyDescent="0.3">
      <c r="A469">
        <v>1128</v>
      </c>
      <c r="B469">
        <v>2017</v>
      </c>
      <c r="C469">
        <v>3012</v>
      </c>
      <c r="D469" t="str">
        <f>VLOOKUP('Sales table'!$A:$A,Customers!$A:$H,2,FALSE)</f>
        <v>Thomas Pennington</v>
      </c>
      <c r="E469">
        <f>VLOOKUP('Sales table'!$A:$A,Customers!$A:$H,4,FALSE)</f>
        <v>49</v>
      </c>
      <c r="F469" t="str">
        <f>VLOOKUP('Sales table'!$A:$A,Customers!$A:$H,5,FALSE)</f>
        <v>Pune</v>
      </c>
      <c r="G469" t="str">
        <f>VLOOKUP($B:$B,Products!$A:$D,2,FALSE)</f>
        <v>Handmade Pottery</v>
      </c>
      <c r="H469" t="str">
        <f>VLOOKUP($B:$B,Products!$A:$D,3,FALSE)</f>
        <v>Home Decor</v>
      </c>
      <c r="I469">
        <f>VLOOKUP($B:$B,Products!$A:$D,4,FALSE)</f>
        <v>8186</v>
      </c>
      <c r="J469" s="4">
        <f>VLOOKUP($A:$A,Sales!$B:$H,6,FALSE)</f>
        <v>45613</v>
      </c>
      <c r="K469" s="9">
        <f>VLOOKUP($A:$A,Sales!$B:$H,4,FALSE)</f>
        <v>3</v>
      </c>
      <c r="L469" s="5">
        <f t="shared" si="7"/>
        <v>24558</v>
      </c>
    </row>
    <row r="470" spans="1:12" x14ac:dyDescent="0.3">
      <c r="A470">
        <v>1076</v>
      </c>
      <c r="B470">
        <v>2023</v>
      </c>
      <c r="C470">
        <v>3007</v>
      </c>
      <c r="D470" t="str">
        <f>VLOOKUP('Sales table'!$A:$A,Customers!$A:$H,2,FALSE)</f>
        <v>Daniel Simon</v>
      </c>
      <c r="E470">
        <f>VLOOKUP('Sales table'!$A:$A,Customers!$A:$H,4,FALSE)</f>
        <v>28</v>
      </c>
      <c r="F470" t="str">
        <f>VLOOKUP('Sales table'!$A:$A,Customers!$A:$H,5,FALSE)</f>
        <v>Chennai</v>
      </c>
      <c r="G470" t="str">
        <f>VLOOKUP($B:$B,Products!$A:$D,2,FALSE)</f>
        <v>Kids Wear</v>
      </c>
      <c r="H470" t="str">
        <f>VLOOKUP($B:$B,Products!$A:$D,3,FALSE)</f>
        <v>Clothing</v>
      </c>
      <c r="I470">
        <f>VLOOKUP($B:$B,Products!$A:$D,4,FALSE)</f>
        <v>4794</v>
      </c>
      <c r="J470" s="4">
        <f>VLOOKUP($A:$A,Sales!$B:$H,6,FALSE)</f>
        <v>45590</v>
      </c>
      <c r="K470" s="9">
        <f>VLOOKUP($A:$A,Sales!$B:$H,4,FALSE)</f>
        <v>1</v>
      </c>
      <c r="L470" s="5">
        <f t="shared" si="7"/>
        <v>4794</v>
      </c>
    </row>
    <row r="471" spans="1:12" x14ac:dyDescent="0.3">
      <c r="A471">
        <v>1176</v>
      </c>
      <c r="B471">
        <v>2019</v>
      </c>
      <c r="C471">
        <v>3008</v>
      </c>
      <c r="D471" t="str">
        <f>VLOOKUP('Sales table'!$A:$A,Customers!$A:$H,2,FALSE)</f>
        <v>Brent Smith</v>
      </c>
      <c r="E471">
        <f>VLOOKUP('Sales table'!$A:$A,Customers!$A:$H,4,FALSE)</f>
        <v>37</v>
      </c>
      <c r="F471" t="str">
        <f>VLOOKUP('Sales table'!$A:$A,Customers!$A:$H,5,FALSE)</f>
        <v>Bangalore</v>
      </c>
      <c r="G471" t="str">
        <f>VLOOKUP($B:$B,Products!$A:$D,2,FALSE)</f>
        <v>Designer Kurti</v>
      </c>
      <c r="H471" t="str">
        <f>VLOOKUP($B:$B,Products!$A:$D,3,FALSE)</f>
        <v>Clothing</v>
      </c>
      <c r="I471">
        <f>VLOOKUP($B:$B,Products!$A:$D,4,FALSE)</f>
        <v>13620</v>
      </c>
      <c r="J471" s="4">
        <f>VLOOKUP($A:$A,Sales!$B:$H,6,FALSE)</f>
        <v>45585</v>
      </c>
      <c r="K471" s="9">
        <f>VLOOKUP($A:$A,Sales!$B:$H,4,FALSE)</f>
        <v>3</v>
      </c>
      <c r="L471" s="5">
        <f t="shared" si="7"/>
        <v>40860</v>
      </c>
    </row>
    <row r="472" spans="1:12" x14ac:dyDescent="0.3">
      <c r="A472">
        <v>1055</v>
      </c>
      <c r="B472">
        <v>2008</v>
      </c>
      <c r="C472">
        <v>3004</v>
      </c>
      <c r="D472" t="str">
        <f>VLOOKUP('Sales table'!$A:$A,Customers!$A:$H,2,FALSE)</f>
        <v>Tina Armstrong</v>
      </c>
      <c r="E472">
        <f>VLOOKUP('Sales table'!$A:$A,Customers!$A:$H,4,FALSE)</f>
        <v>44</v>
      </c>
      <c r="F472" t="str">
        <f>VLOOKUP('Sales table'!$A:$A,Customers!$A:$H,5,FALSE)</f>
        <v>Mumbai</v>
      </c>
      <c r="G472" t="str">
        <f>VLOOKUP($B:$B,Products!$A:$D,2,FALSE)</f>
        <v>Earthen Diyas</v>
      </c>
      <c r="H472" t="str">
        <f>VLOOKUP($B:$B,Products!$A:$D,3,FALSE)</f>
        <v>Home Decor</v>
      </c>
      <c r="I472">
        <f>VLOOKUP($B:$B,Products!$A:$D,4,FALSE)</f>
        <v>2136</v>
      </c>
      <c r="J472" s="4">
        <f>VLOOKUP($A:$A,Sales!$B:$H,6,FALSE)</f>
        <v>45582</v>
      </c>
      <c r="K472" s="9">
        <f>VLOOKUP($A:$A,Sales!$B:$H,4,FALSE)</f>
        <v>1</v>
      </c>
      <c r="L472" s="5">
        <f t="shared" si="7"/>
        <v>2136</v>
      </c>
    </row>
    <row r="473" spans="1:12" x14ac:dyDescent="0.3">
      <c r="A473">
        <v>1228</v>
      </c>
      <c r="B473">
        <v>2014</v>
      </c>
      <c r="C473">
        <v>3031</v>
      </c>
      <c r="D473" t="str">
        <f>VLOOKUP('Sales table'!$A:$A,Customers!$A:$H,2,FALSE)</f>
        <v>Ian Kemp</v>
      </c>
      <c r="E473">
        <f>VLOOKUP('Sales table'!$A:$A,Customers!$A:$H,4,FALSE)</f>
        <v>42</v>
      </c>
      <c r="F473" t="str">
        <f>VLOOKUP('Sales table'!$A:$A,Customers!$A:$H,5,FALSE)</f>
        <v>Kolkata</v>
      </c>
      <c r="G473" t="str">
        <f>VLOOKUP($B:$B,Products!$A:$D,2,FALSE)</f>
        <v>Gold Coin</v>
      </c>
      <c r="H473" t="str">
        <f>VLOOKUP($B:$B,Products!$A:$D,3,FALSE)</f>
        <v>Precious Items</v>
      </c>
      <c r="I473">
        <f>VLOOKUP($B:$B,Products!$A:$D,4,FALSE)</f>
        <v>13823</v>
      </c>
      <c r="J473" s="4">
        <f>VLOOKUP($A:$A,Sales!$B:$H,6,FALSE)</f>
        <v>45606</v>
      </c>
      <c r="K473" s="9">
        <f>VLOOKUP($A:$A,Sales!$B:$H,4,FALSE)</f>
        <v>4</v>
      </c>
      <c r="L473" s="5">
        <f t="shared" si="7"/>
        <v>55292</v>
      </c>
    </row>
    <row r="474" spans="1:12" x14ac:dyDescent="0.3">
      <c r="A474">
        <v>1283</v>
      </c>
      <c r="B474">
        <v>2013</v>
      </c>
      <c r="C474">
        <v>3015</v>
      </c>
      <c r="D474" t="str">
        <f>VLOOKUP('Sales table'!$A:$A,Customers!$A:$H,2,FALSE)</f>
        <v>Gregory Richardson</v>
      </c>
      <c r="E474">
        <f>VLOOKUP('Sales table'!$A:$A,Customers!$A:$H,4,FALSE)</f>
        <v>62</v>
      </c>
      <c r="F474" t="str">
        <f>VLOOKUP('Sales table'!$A:$A,Customers!$A:$H,5,FALSE)</f>
        <v>Chennai</v>
      </c>
      <c r="G474" t="str">
        <f>VLOOKUP($B:$B,Products!$A:$D,2,FALSE)</f>
        <v>Silver Coin</v>
      </c>
      <c r="H474" t="str">
        <f>VLOOKUP($B:$B,Products!$A:$D,3,FALSE)</f>
        <v>Precious Items</v>
      </c>
      <c r="I474">
        <f>VLOOKUP($B:$B,Products!$A:$D,4,FALSE)</f>
        <v>11845</v>
      </c>
      <c r="J474" s="4">
        <f>VLOOKUP($A:$A,Sales!$B:$H,6,FALSE)</f>
        <v>45594</v>
      </c>
      <c r="K474" s="9">
        <f>VLOOKUP($A:$A,Sales!$B:$H,4,FALSE)</f>
        <v>5</v>
      </c>
      <c r="L474" s="5">
        <f t="shared" si="7"/>
        <v>59225</v>
      </c>
    </row>
    <row r="475" spans="1:12" x14ac:dyDescent="0.3">
      <c r="A475">
        <v>1203</v>
      </c>
      <c r="B475">
        <v>2002</v>
      </c>
      <c r="C475">
        <v>3025</v>
      </c>
      <c r="D475" t="str">
        <f>VLOOKUP('Sales table'!$A:$A,Customers!$A:$H,2,FALSE)</f>
        <v>Jennifer Johnston</v>
      </c>
      <c r="E475">
        <f>VLOOKUP('Sales table'!$A:$A,Customers!$A:$H,4,FALSE)</f>
        <v>40</v>
      </c>
      <c r="F475" t="str">
        <f>VLOOKUP('Sales table'!$A:$A,Customers!$A:$H,5,FALSE)</f>
        <v>Bangalore</v>
      </c>
      <c r="G475" t="str">
        <f>VLOOKUP($B:$B,Products!$A:$D,2,FALSE)</f>
        <v>Saree</v>
      </c>
      <c r="H475" t="str">
        <f>VLOOKUP($B:$B,Products!$A:$D,3,FALSE)</f>
        <v>Clothing</v>
      </c>
      <c r="I475">
        <f>VLOOKUP($B:$B,Products!$A:$D,4,FALSE)</f>
        <v>9534</v>
      </c>
      <c r="J475" s="4">
        <f>VLOOKUP($A:$A,Sales!$B:$H,6,FALSE)</f>
        <v>45597</v>
      </c>
      <c r="K475" s="9">
        <f>VLOOKUP($A:$A,Sales!$B:$H,4,FALSE)</f>
        <v>1</v>
      </c>
      <c r="L475" s="5">
        <f t="shared" si="7"/>
        <v>9534</v>
      </c>
    </row>
    <row r="476" spans="1:12" x14ac:dyDescent="0.3">
      <c r="A476">
        <v>1018</v>
      </c>
      <c r="B476">
        <v>2023</v>
      </c>
      <c r="C476">
        <v>3026</v>
      </c>
      <c r="D476" t="str">
        <f>VLOOKUP('Sales table'!$A:$A,Customers!$A:$H,2,FALSE)</f>
        <v>Mariah Kim</v>
      </c>
      <c r="E476">
        <f>VLOOKUP('Sales table'!$A:$A,Customers!$A:$H,4,FALSE)</f>
        <v>34</v>
      </c>
      <c r="F476" t="str">
        <f>VLOOKUP('Sales table'!$A:$A,Customers!$A:$H,5,FALSE)</f>
        <v>Mumbai</v>
      </c>
      <c r="G476" t="str">
        <f>VLOOKUP($B:$B,Products!$A:$D,2,FALSE)</f>
        <v>Kids Wear</v>
      </c>
      <c r="H476" t="str">
        <f>VLOOKUP($B:$B,Products!$A:$D,3,FALSE)</f>
        <v>Clothing</v>
      </c>
      <c r="I476">
        <f>VLOOKUP($B:$B,Products!$A:$D,4,FALSE)</f>
        <v>4794</v>
      </c>
      <c r="J476" s="4">
        <f>VLOOKUP($A:$A,Sales!$B:$H,6,FALSE)</f>
        <v>45610</v>
      </c>
      <c r="K476" s="9">
        <f>VLOOKUP($A:$A,Sales!$B:$H,4,FALSE)</f>
        <v>1</v>
      </c>
      <c r="L476" s="5">
        <f t="shared" si="7"/>
        <v>4794</v>
      </c>
    </row>
    <row r="477" spans="1:12" x14ac:dyDescent="0.3">
      <c r="A477">
        <v>1130</v>
      </c>
      <c r="B477">
        <v>2018</v>
      </c>
      <c r="C477">
        <v>3015</v>
      </c>
      <c r="D477" t="str">
        <f>VLOOKUP('Sales table'!$A:$A,Customers!$A:$H,2,FALSE)</f>
        <v>Nicole Wilson</v>
      </c>
      <c r="E477">
        <f>VLOOKUP('Sales table'!$A:$A,Customers!$A:$H,4,FALSE)</f>
        <v>19</v>
      </c>
      <c r="F477" t="str">
        <f>VLOOKUP('Sales table'!$A:$A,Customers!$A:$H,5,FALSE)</f>
        <v>Chennai</v>
      </c>
      <c r="G477" t="str">
        <f>VLOOKUP($B:$B,Products!$A:$D,2,FALSE)</f>
        <v>Dry Fruits Pack</v>
      </c>
      <c r="H477" t="str">
        <f>VLOOKUP($B:$B,Products!$A:$D,3,FALSE)</f>
        <v>Sweets &amp; Gifts</v>
      </c>
      <c r="I477">
        <f>VLOOKUP($B:$B,Products!$A:$D,4,FALSE)</f>
        <v>7243</v>
      </c>
      <c r="J477" s="4">
        <f>VLOOKUP($A:$A,Sales!$B:$H,6,FALSE)</f>
        <v>45592</v>
      </c>
      <c r="K477" s="9">
        <f>VLOOKUP($A:$A,Sales!$B:$H,4,FALSE)</f>
        <v>4</v>
      </c>
      <c r="L477" s="5">
        <f t="shared" si="7"/>
        <v>28972</v>
      </c>
    </row>
    <row r="478" spans="1:12" x14ac:dyDescent="0.3">
      <c r="A478">
        <v>1221</v>
      </c>
      <c r="B478">
        <v>2022</v>
      </c>
      <c r="C478">
        <v>3011</v>
      </c>
      <c r="D478" t="str">
        <f>VLOOKUP('Sales table'!$A:$A,Customers!$A:$H,2,FALSE)</f>
        <v>Elizabeth Garcia</v>
      </c>
      <c r="E478">
        <f>VLOOKUP('Sales table'!$A:$A,Customers!$A:$H,4,FALSE)</f>
        <v>29</v>
      </c>
      <c r="F478" t="str">
        <f>VLOOKUP('Sales table'!$A:$A,Customers!$A:$H,5,FALSE)</f>
        <v>Chennai</v>
      </c>
      <c r="G478" t="str">
        <f>VLOOKUP($B:$B,Products!$A:$D,2,FALSE)</f>
        <v>Home Decor Statue</v>
      </c>
      <c r="H478" t="str">
        <f>VLOOKUP($B:$B,Products!$A:$D,3,FALSE)</f>
        <v>Home Decor</v>
      </c>
      <c r="I478">
        <f>VLOOKUP($B:$B,Products!$A:$D,4,FALSE)</f>
        <v>17149</v>
      </c>
      <c r="J478" s="4">
        <f>VLOOKUP($A:$A,Sales!$B:$H,6,FALSE)</f>
        <v>45597</v>
      </c>
      <c r="K478" s="9">
        <f>VLOOKUP($A:$A,Sales!$B:$H,4,FALSE)</f>
        <v>1</v>
      </c>
      <c r="L478" s="5">
        <f t="shared" si="7"/>
        <v>17149</v>
      </c>
    </row>
    <row r="479" spans="1:12" x14ac:dyDescent="0.3">
      <c r="A479">
        <v>1252</v>
      </c>
      <c r="B479">
        <v>2012</v>
      </c>
      <c r="C479">
        <v>3004</v>
      </c>
      <c r="D479" t="str">
        <f>VLOOKUP('Sales table'!$A:$A,Customers!$A:$H,2,FALSE)</f>
        <v>Sheryl Henderson</v>
      </c>
      <c r="E479">
        <f>VLOOKUP('Sales table'!$A:$A,Customers!$A:$H,4,FALSE)</f>
        <v>41</v>
      </c>
      <c r="F479" t="str">
        <f>VLOOKUP('Sales table'!$A:$A,Customers!$A:$H,5,FALSE)</f>
        <v>Mumbai</v>
      </c>
      <c r="G479" t="str">
        <f>VLOOKUP($B:$B,Products!$A:$D,2,FALSE)</f>
        <v>Wall Hanging</v>
      </c>
      <c r="H479" t="str">
        <f>VLOOKUP($B:$B,Products!$A:$D,3,FALSE)</f>
        <v>Home Decor</v>
      </c>
      <c r="I479">
        <f>VLOOKUP($B:$B,Products!$A:$D,4,FALSE)</f>
        <v>11867</v>
      </c>
      <c r="J479" s="4">
        <f>VLOOKUP($A:$A,Sales!$B:$H,6,FALSE)</f>
        <v>45611</v>
      </c>
      <c r="K479" s="9">
        <f>VLOOKUP($A:$A,Sales!$B:$H,4,FALSE)</f>
        <v>1</v>
      </c>
      <c r="L479" s="5">
        <f t="shared" si="7"/>
        <v>11867</v>
      </c>
    </row>
    <row r="480" spans="1:12" x14ac:dyDescent="0.3">
      <c r="A480">
        <v>1205</v>
      </c>
      <c r="B480">
        <v>2017</v>
      </c>
      <c r="C480">
        <v>3033</v>
      </c>
      <c r="D480" t="str">
        <f>VLOOKUP('Sales table'!$A:$A,Customers!$A:$H,2,FALSE)</f>
        <v>Judy Gilbert</v>
      </c>
      <c r="E480">
        <f>VLOOKUP('Sales table'!$A:$A,Customers!$A:$H,4,FALSE)</f>
        <v>61</v>
      </c>
      <c r="F480" t="str">
        <f>VLOOKUP('Sales table'!$A:$A,Customers!$A:$H,5,FALSE)</f>
        <v>Hyderabad</v>
      </c>
      <c r="G480" t="str">
        <f>VLOOKUP($B:$B,Products!$A:$D,2,FALSE)</f>
        <v>Handmade Pottery</v>
      </c>
      <c r="H480" t="str">
        <f>VLOOKUP($B:$B,Products!$A:$D,3,FALSE)</f>
        <v>Home Decor</v>
      </c>
      <c r="I480">
        <f>VLOOKUP($B:$B,Products!$A:$D,4,FALSE)</f>
        <v>8186</v>
      </c>
      <c r="J480" s="4">
        <f>VLOOKUP($A:$A,Sales!$B:$H,6,FALSE)</f>
        <v>45579</v>
      </c>
      <c r="K480" s="9">
        <f>VLOOKUP($A:$A,Sales!$B:$H,4,FALSE)</f>
        <v>5</v>
      </c>
      <c r="L480" s="5">
        <f t="shared" si="7"/>
        <v>40930</v>
      </c>
    </row>
    <row r="481" spans="1:12" x14ac:dyDescent="0.3">
      <c r="A481">
        <v>1079</v>
      </c>
      <c r="B481">
        <v>2012</v>
      </c>
      <c r="C481">
        <v>3033</v>
      </c>
      <c r="D481" t="str">
        <f>VLOOKUP('Sales table'!$A:$A,Customers!$A:$H,2,FALSE)</f>
        <v>Anthony Myers</v>
      </c>
      <c r="E481">
        <f>VLOOKUP('Sales table'!$A:$A,Customers!$A:$H,4,FALSE)</f>
        <v>39</v>
      </c>
      <c r="F481" t="str">
        <f>VLOOKUP('Sales table'!$A:$A,Customers!$A:$H,5,FALSE)</f>
        <v>Hyderabad</v>
      </c>
      <c r="G481" t="str">
        <f>VLOOKUP($B:$B,Products!$A:$D,2,FALSE)</f>
        <v>Wall Hanging</v>
      </c>
      <c r="H481" t="str">
        <f>VLOOKUP($B:$B,Products!$A:$D,3,FALSE)</f>
        <v>Home Decor</v>
      </c>
      <c r="I481">
        <f>VLOOKUP($B:$B,Products!$A:$D,4,FALSE)</f>
        <v>11867</v>
      </c>
      <c r="J481" s="4">
        <f>VLOOKUP($A:$A,Sales!$B:$H,6,FALSE)</f>
        <v>45608</v>
      </c>
      <c r="K481" s="9">
        <f>VLOOKUP($A:$A,Sales!$B:$H,4,FALSE)</f>
        <v>2</v>
      </c>
      <c r="L481" s="5">
        <f t="shared" si="7"/>
        <v>23734</v>
      </c>
    </row>
    <row r="482" spans="1:12" x14ac:dyDescent="0.3">
      <c r="A482">
        <v>1197</v>
      </c>
      <c r="B482">
        <v>2024</v>
      </c>
      <c r="C482">
        <v>3016</v>
      </c>
      <c r="D482" t="str">
        <f>VLOOKUP('Sales table'!$A:$A,Customers!$A:$H,2,FALSE)</f>
        <v>Daniel Price</v>
      </c>
      <c r="E482">
        <f>VLOOKUP('Sales table'!$A:$A,Customers!$A:$H,4,FALSE)</f>
        <v>25</v>
      </c>
      <c r="F482" t="str">
        <f>VLOOKUP('Sales table'!$A:$A,Customers!$A:$H,5,FALSE)</f>
        <v>Kolkata</v>
      </c>
      <c r="G482" t="str">
        <f>VLOOKUP($B:$B,Products!$A:$D,2,FALSE)</f>
        <v>Perfume Gift Set</v>
      </c>
      <c r="H482" t="str">
        <f>VLOOKUP($B:$B,Products!$A:$D,3,FALSE)</f>
        <v>Accessories</v>
      </c>
      <c r="I482">
        <f>VLOOKUP($B:$B,Products!$A:$D,4,FALSE)</f>
        <v>16272</v>
      </c>
      <c r="J482" s="4">
        <f>VLOOKUP($A:$A,Sales!$B:$H,6,FALSE)</f>
        <v>45612</v>
      </c>
      <c r="K482" s="9">
        <f>VLOOKUP($A:$A,Sales!$B:$H,4,FALSE)</f>
        <v>5</v>
      </c>
      <c r="L482" s="5">
        <f t="shared" si="7"/>
        <v>81360</v>
      </c>
    </row>
    <row r="483" spans="1:12" x14ac:dyDescent="0.3">
      <c r="A483">
        <v>1204</v>
      </c>
      <c r="B483">
        <v>2017</v>
      </c>
      <c r="C483">
        <v>3025</v>
      </c>
      <c r="D483" t="str">
        <f>VLOOKUP('Sales table'!$A:$A,Customers!$A:$H,2,FALSE)</f>
        <v>William Freeman</v>
      </c>
      <c r="E483">
        <f>VLOOKUP('Sales table'!$A:$A,Customers!$A:$H,4,FALSE)</f>
        <v>49</v>
      </c>
      <c r="F483" t="str">
        <f>VLOOKUP('Sales table'!$A:$A,Customers!$A:$H,5,FALSE)</f>
        <v>Mumbai</v>
      </c>
      <c r="G483" t="str">
        <f>VLOOKUP($B:$B,Products!$A:$D,2,FALSE)</f>
        <v>Handmade Pottery</v>
      </c>
      <c r="H483" t="str">
        <f>VLOOKUP($B:$B,Products!$A:$D,3,FALSE)</f>
        <v>Home Decor</v>
      </c>
      <c r="I483">
        <f>VLOOKUP($B:$B,Products!$A:$D,4,FALSE)</f>
        <v>8186</v>
      </c>
      <c r="J483" s="4">
        <f>VLOOKUP($A:$A,Sales!$B:$H,6,FALSE)</f>
        <v>45582</v>
      </c>
      <c r="K483" s="9">
        <f>VLOOKUP($A:$A,Sales!$B:$H,4,FALSE)</f>
        <v>3</v>
      </c>
      <c r="L483" s="5">
        <f t="shared" si="7"/>
        <v>24558</v>
      </c>
    </row>
    <row r="484" spans="1:12" x14ac:dyDescent="0.3">
      <c r="A484">
        <v>1224</v>
      </c>
      <c r="B484">
        <v>2019</v>
      </c>
      <c r="C484">
        <v>3021</v>
      </c>
      <c r="D484" t="str">
        <f>VLOOKUP('Sales table'!$A:$A,Customers!$A:$H,2,FALSE)</f>
        <v>Joseph Garrett</v>
      </c>
      <c r="E484">
        <f>VLOOKUP('Sales table'!$A:$A,Customers!$A:$H,4,FALSE)</f>
        <v>58</v>
      </c>
      <c r="F484" t="str">
        <f>VLOOKUP('Sales table'!$A:$A,Customers!$A:$H,5,FALSE)</f>
        <v>Pune</v>
      </c>
      <c r="G484" t="str">
        <f>VLOOKUP($B:$B,Products!$A:$D,2,FALSE)</f>
        <v>Designer Kurti</v>
      </c>
      <c r="H484" t="str">
        <f>VLOOKUP($B:$B,Products!$A:$D,3,FALSE)</f>
        <v>Clothing</v>
      </c>
      <c r="I484">
        <f>VLOOKUP($B:$B,Products!$A:$D,4,FALSE)</f>
        <v>13620</v>
      </c>
      <c r="J484" s="4">
        <f>VLOOKUP($A:$A,Sales!$B:$H,6,FALSE)</f>
        <v>45609</v>
      </c>
      <c r="K484" s="9">
        <f>VLOOKUP($A:$A,Sales!$B:$H,4,FALSE)</f>
        <v>2</v>
      </c>
      <c r="L484" s="5">
        <f t="shared" si="7"/>
        <v>27240</v>
      </c>
    </row>
    <row r="485" spans="1:12" x14ac:dyDescent="0.3">
      <c r="A485">
        <v>1208</v>
      </c>
      <c r="B485">
        <v>2006</v>
      </c>
      <c r="C485">
        <v>3028</v>
      </c>
      <c r="D485" t="str">
        <f>VLOOKUP('Sales table'!$A:$A,Customers!$A:$H,2,FALSE)</f>
        <v>Kelly Lee</v>
      </c>
      <c r="E485">
        <f>VLOOKUP('Sales table'!$A:$A,Customers!$A:$H,4,FALSE)</f>
        <v>47</v>
      </c>
      <c r="F485" t="str">
        <f>VLOOKUP('Sales table'!$A:$A,Customers!$A:$H,5,FALSE)</f>
        <v>Delhi</v>
      </c>
      <c r="G485" t="str">
        <f>VLOOKUP($B:$B,Products!$A:$D,2,FALSE)</f>
        <v>Crackers Pack</v>
      </c>
      <c r="H485" t="str">
        <f>VLOOKUP($B:$B,Products!$A:$D,3,FALSE)</f>
        <v>Crackers</v>
      </c>
      <c r="I485">
        <f>VLOOKUP($B:$B,Products!$A:$D,4,FALSE)</f>
        <v>12060</v>
      </c>
      <c r="J485" s="4">
        <f>VLOOKUP($A:$A,Sales!$B:$H,6,FALSE)</f>
        <v>45597</v>
      </c>
      <c r="K485" s="9">
        <f>VLOOKUP($A:$A,Sales!$B:$H,4,FALSE)</f>
        <v>3</v>
      </c>
      <c r="L485" s="5">
        <f t="shared" si="7"/>
        <v>36180</v>
      </c>
    </row>
    <row r="486" spans="1:12" x14ac:dyDescent="0.3">
      <c r="A486">
        <v>1215</v>
      </c>
      <c r="B486">
        <v>2017</v>
      </c>
      <c r="C486">
        <v>3023</v>
      </c>
      <c r="D486" t="str">
        <f>VLOOKUP('Sales table'!$A:$A,Customers!$A:$H,2,FALSE)</f>
        <v>Brent Murphy</v>
      </c>
      <c r="E486">
        <f>VLOOKUP('Sales table'!$A:$A,Customers!$A:$H,4,FALSE)</f>
        <v>57</v>
      </c>
      <c r="F486" t="str">
        <f>VLOOKUP('Sales table'!$A:$A,Customers!$A:$H,5,FALSE)</f>
        <v>Hyderabad</v>
      </c>
      <c r="G486" t="str">
        <f>VLOOKUP($B:$B,Products!$A:$D,2,FALSE)</f>
        <v>Handmade Pottery</v>
      </c>
      <c r="H486" t="str">
        <f>VLOOKUP($B:$B,Products!$A:$D,3,FALSE)</f>
        <v>Home Decor</v>
      </c>
      <c r="I486">
        <f>VLOOKUP($B:$B,Products!$A:$D,4,FALSE)</f>
        <v>8186</v>
      </c>
      <c r="J486" s="4">
        <f>VLOOKUP($A:$A,Sales!$B:$H,6,FALSE)</f>
        <v>45579</v>
      </c>
      <c r="K486" s="9">
        <f>VLOOKUP($A:$A,Sales!$B:$H,4,FALSE)</f>
        <v>2</v>
      </c>
      <c r="L486" s="5">
        <f t="shared" si="7"/>
        <v>16372</v>
      </c>
    </row>
    <row r="487" spans="1:12" x14ac:dyDescent="0.3">
      <c r="A487">
        <v>1076</v>
      </c>
      <c r="B487">
        <v>2004</v>
      </c>
      <c r="C487">
        <v>3007</v>
      </c>
      <c r="D487" t="str">
        <f>VLOOKUP('Sales table'!$A:$A,Customers!$A:$H,2,FALSE)</f>
        <v>Daniel Simon</v>
      </c>
      <c r="E487">
        <f>VLOOKUP('Sales table'!$A:$A,Customers!$A:$H,4,FALSE)</f>
        <v>28</v>
      </c>
      <c r="F487" t="str">
        <f>VLOOKUP('Sales table'!$A:$A,Customers!$A:$H,5,FALSE)</f>
        <v>Chennai</v>
      </c>
      <c r="G487" t="str">
        <f>VLOOKUP($B:$B,Products!$A:$D,2,FALSE)</f>
        <v>Smartphone</v>
      </c>
      <c r="H487" t="str">
        <f>VLOOKUP($B:$B,Products!$A:$D,3,FALSE)</f>
        <v>Electronics</v>
      </c>
      <c r="I487">
        <f>VLOOKUP($B:$B,Products!$A:$D,4,FALSE)</f>
        <v>4952</v>
      </c>
      <c r="J487" s="4">
        <f>VLOOKUP($A:$A,Sales!$B:$H,6,FALSE)</f>
        <v>45590</v>
      </c>
      <c r="K487" s="9">
        <f>VLOOKUP($A:$A,Sales!$B:$H,4,FALSE)</f>
        <v>1</v>
      </c>
      <c r="L487" s="5">
        <f t="shared" si="7"/>
        <v>4952</v>
      </c>
    </row>
    <row r="488" spans="1:12" x14ac:dyDescent="0.3">
      <c r="A488">
        <v>1039</v>
      </c>
      <c r="B488">
        <v>2003</v>
      </c>
      <c r="C488">
        <v>3009</v>
      </c>
      <c r="D488" t="str">
        <f>VLOOKUP('Sales table'!$A:$A,Customers!$A:$H,2,FALSE)</f>
        <v>Carol Allen</v>
      </c>
      <c r="E488">
        <f>VLOOKUP('Sales table'!$A:$A,Customers!$A:$H,4,FALSE)</f>
        <v>22</v>
      </c>
      <c r="F488" t="str">
        <f>VLOOKUP('Sales table'!$A:$A,Customers!$A:$H,5,FALSE)</f>
        <v>Bangalore</v>
      </c>
      <c r="G488" t="str">
        <f>VLOOKUP($B:$B,Products!$A:$D,2,FALSE)</f>
        <v>Kurta</v>
      </c>
      <c r="H488" t="str">
        <f>VLOOKUP($B:$B,Products!$A:$D,3,FALSE)</f>
        <v>Clothing</v>
      </c>
      <c r="I488">
        <f>VLOOKUP($B:$B,Products!$A:$D,4,FALSE)</f>
        <v>13241</v>
      </c>
      <c r="J488" s="4">
        <f>VLOOKUP($A:$A,Sales!$B:$H,6,FALSE)</f>
        <v>45613</v>
      </c>
      <c r="K488" s="9">
        <f>VLOOKUP($A:$A,Sales!$B:$H,4,FALSE)</f>
        <v>1</v>
      </c>
      <c r="L488" s="5">
        <f t="shared" si="7"/>
        <v>13241</v>
      </c>
    </row>
    <row r="489" spans="1:12" x14ac:dyDescent="0.3">
      <c r="A489">
        <v>1217</v>
      </c>
      <c r="B489">
        <v>2018</v>
      </c>
      <c r="C489">
        <v>3025</v>
      </c>
      <c r="D489" t="str">
        <f>VLOOKUP('Sales table'!$A:$A,Customers!$A:$H,2,FALSE)</f>
        <v>Lisa Kelly</v>
      </c>
      <c r="E489">
        <f>VLOOKUP('Sales table'!$A:$A,Customers!$A:$H,4,FALSE)</f>
        <v>23</v>
      </c>
      <c r="F489" t="str">
        <f>VLOOKUP('Sales table'!$A:$A,Customers!$A:$H,5,FALSE)</f>
        <v>Mumbai</v>
      </c>
      <c r="G489" t="str">
        <f>VLOOKUP($B:$B,Products!$A:$D,2,FALSE)</f>
        <v>Dry Fruits Pack</v>
      </c>
      <c r="H489" t="str">
        <f>VLOOKUP($B:$B,Products!$A:$D,3,FALSE)</f>
        <v>Sweets &amp; Gifts</v>
      </c>
      <c r="I489">
        <f>VLOOKUP($B:$B,Products!$A:$D,4,FALSE)</f>
        <v>7243</v>
      </c>
      <c r="J489" s="4">
        <f>VLOOKUP($A:$A,Sales!$B:$H,6,FALSE)</f>
        <v>45588</v>
      </c>
      <c r="K489" s="9">
        <f>VLOOKUP($A:$A,Sales!$B:$H,4,FALSE)</f>
        <v>1</v>
      </c>
      <c r="L489" s="5">
        <f t="shared" si="7"/>
        <v>7243</v>
      </c>
    </row>
    <row r="490" spans="1:12" x14ac:dyDescent="0.3">
      <c r="A490">
        <v>1121</v>
      </c>
      <c r="B490">
        <v>2002</v>
      </c>
      <c r="C490">
        <v>3032</v>
      </c>
      <c r="D490" t="str">
        <f>VLOOKUP('Sales table'!$A:$A,Customers!$A:$H,2,FALSE)</f>
        <v>Vincent Fuller</v>
      </c>
      <c r="E490">
        <f>VLOOKUP('Sales table'!$A:$A,Customers!$A:$H,4,FALSE)</f>
        <v>25</v>
      </c>
      <c r="F490" t="str">
        <f>VLOOKUP('Sales table'!$A:$A,Customers!$A:$H,5,FALSE)</f>
        <v>Delhi</v>
      </c>
      <c r="G490" t="str">
        <f>VLOOKUP($B:$B,Products!$A:$D,2,FALSE)</f>
        <v>Saree</v>
      </c>
      <c r="H490" t="str">
        <f>VLOOKUP($B:$B,Products!$A:$D,3,FALSE)</f>
        <v>Clothing</v>
      </c>
      <c r="I490">
        <f>VLOOKUP($B:$B,Products!$A:$D,4,FALSE)</f>
        <v>9534</v>
      </c>
      <c r="J490" s="4">
        <f>VLOOKUP($A:$A,Sales!$B:$H,6,FALSE)</f>
        <v>45577</v>
      </c>
      <c r="K490" s="9">
        <f>VLOOKUP($A:$A,Sales!$B:$H,4,FALSE)</f>
        <v>2</v>
      </c>
      <c r="L490" s="5">
        <f t="shared" si="7"/>
        <v>19068</v>
      </c>
    </row>
    <row r="491" spans="1:12" x14ac:dyDescent="0.3">
      <c r="A491">
        <v>1222</v>
      </c>
      <c r="B491">
        <v>2002</v>
      </c>
      <c r="C491">
        <v>3034</v>
      </c>
      <c r="D491" t="str">
        <f>VLOOKUP('Sales table'!$A:$A,Customers!$A:$H,2,FALSE)</f>
        <v>Frank Johnson</v>
      </c>
      <c r="E491">
        <f>VLOOKUP('Sales table'!$A:$A,Customers!$A:$H,4,FALSE)</f>
        <v>39</v>
      </c>
      <c r="F491" t="str">
        <f>VLOOKUP('Sales table'!$A:$A,Customers!$A:$H,5,FALSE)</f>
        <v>Mumbai</v>
      </c>
      <c r="G491" t="str">
        <f>VLOOKUP($B:$B,Products!$A:$D,2,FALSE)</f>
        <v>Saree</v>
      </c>
      <c r="H491" t="str">
        <f>VLOOKUP($B:$B,Products!$A:$D,3,FALSE)</f>
        <v>Clothing</v>
      </c>
      <c r="I491">
        <f>VLOOKUP($B:$B,Products!$A:$D,4,FALSE)</f>
        <v>9534</v>
      </c>
      <c r="J491" s="4">
        <f>VLOOKUP($A:$A,Sales!$B:$H,6,FALSE)</f>
        <v>45615</v>
      </c>
      <c r="K491" s="9">
        <f>VLOOKUP($A:$A,Sales!$B:$H,4,FALSE)</f>
        <v>4</v>
      </c>
      <c r="L491" s="5">
        <f t="shared" si="7"/>
        <v>38136</v>
      </c>
    </row>
    <row r="492" spans="1:12" x14ac:dyDescent="0.3">
      <c r="A492">
        <v>1233</v>
      </c>
      <c r="B492">
        <v>2023</v>
      </c>
      <c r="C492">
        <v>3010</v>
      </c>
      <c r="D492" t="str">
        <f>VLOOKUP('Sales table'!$A:$A,Customers!$A:$H,2,FALSE)</f>
        <v>Matthew Jennings</v>
      </c>
      <c r="E492">
        <f>VLOOKUP('Sales table'!$A:$A,Customers!$A:$H,4,FALSE)</f>
        <v>65</v>
      </c>
      <c r="F492" t="str">
        <f>VLOOKUP('Sales table'!$A:$A,Customers!$A:$H,5,FALSE)</f>
        <v>Bangalore</v>
      </c>
      <c r="G492" t="str">
        <f>VLOOKUP($B:$B,Products!$A:$D,2,FALSE)</f>
        <v>Kids Wear</v>
      </c>
      <c r="H492" t="str">
        <f>VLOOKUP($B:$B,Products!$A:$D,3,FALSE)</f>
        <v>Clothing</v>
      </c>
      <c r="I492">
        <f>VLOOKUP($B:$B,Products!$A:$D,4,FALSE)</f>
        <v>4794</v>
      </c>
      <c r="J492" s="4">
        <f>VLOOKUP($A:$A,Sales!$B:$H,6,FALSE)</f>
        <v>45593</v>
      </c>
      <c r="K492" s="9">
        <f>VLOOKUP($A:$A,Sales!$B:$H,4,FALSE)</f>
        <v>3</v>
      </c>
      <c r="L492" s="5">
        <f t="shared" si="7"/>
        <v>14382</v>
      </c>
    </row>
    <row r="493" spans="1:12" x14ac:dyDescent="0.3">
      <c r="A493">
        <v>1053</v>
      </c>
      <c r="B493">
        <v>2008</v>
      </c>
      <c r="C493">
        <v>3016</v>
      </c>
      <c r="D493" t="str">
        <f>VLOOKUP('Sales table'!$A:$A,Customers!$A:$H,2,FALSE)</f>
        <v>Brandon Martin</v>
      </c>
      <c r="E493">
        <f>VLOOKUP('Sales table'!$A:$A,Customers!$A:$H,4,FALSE)</f>
        <v>52</v>
      </c>
      <c r="F493" t="str">
        <f>VLOOKUP('Sales table'!$A:$A,Customers!$A:$H,5,FALSE)</f>
        <v>Kolkata</v>
      </c>
      <c r="G493" t="str">
        <f>VLOOKUP($B:$B,Products!$A:$D,2,FALSE)</f>
        <v>Earthen Diyas</v>
      </c>
      <c r="H493" t="str">
        <f>VLOOKUP($B:$B,Products!$A:$D,3,FALSE)</f>
        <v>Home Decor</v>
      </c>
      <c r="I493">
        <f>VLOOKUP($B:$B,Products!$A:$D,4,FALSE)</f>
        <v>2136</v>
      </c>
      <c r="J493" s="4">
        <f>VLOOKUP($A:$A,Sales!$B:$H,6,FALSE)</f>
        <v>45604</v>
      </c>
      <c r="K493" s="9">
        <f>VLOOKUP($A:$A,Sales!$B:$H,4,FALSE)</f>
        <v>3</v>
      </c>
      <c r="L493" s="5">
        <f t="shared" si="7"/>
        <v>6408</v>
      </c>
    </row>
    <row r="494" spans="1:12" x14ac:dyDescent="0.3">
      <c r="A494">
        <v>1154</v>
      </c>
      <c r="B494">
        <v>2013</v>
      </c>
      <c r="C494">
        <v>3032</v>
      </c>
      <c r="D494" t="str">
        <f>VLOOKUP('Sales table'!$A:$A,Customers!$A:$H,2,FALSE)</f>
        <v>Kristin Davis</v>
      </c>
      <c r="E494">
        <f>VLOOKUP('Sales table'!$A:$A,Customers!$A:$H,4,FALSE)</f>
        <v>43</v>
      </c>
      <c r="F494" t="str">
        <f>VLOOKUP('Sales table'!$A:$A,Customers!$A:$H,5,FALSE)</f>
        <v>Hyderabad</v>
      </c>
      <c r="G494" t="str">
        <f>VLOOKUP($B:$B,Products!$A:$D,2,FALSE)</f>
        <v>Silver Coin</v>
      </c>
      <c r="H494" t="str">
        <f>VLOOKUP($B:$B,Products!$A:$D,3,FALSE)</f>
        <v>Precious Items</v>
      </c>
      <c r="I494">
        <f>VLOOKUP($B:$B,Products!$A:$D,4,FALSE)</f>
        <v>11845</v>
      </c>
      <c r="J494" s="4">
        <f>VLOOKUP($A:$A,Sales!$B:$H,6,FALSE)</f>
        <v>45614</v>
      </c>
      <c r="K494" s="9">
        <f>VLOOKUP($A:$A,Sales!$B:$H,4,FALSE)</f>
        <v>1</v>
      </c>
      <c r="L494" s="5">
        <f t="shared" si="7"/>
        <v>11845</v>
      </c>
    </row>
    <row r="495" spans="1:12" x14ac:dyDescent="0.3">
      <c r="A495">
        <v>1128</v>
      </c>
      <c r="B495">
        <v>2012</v>
      </c>
      <c r="C495">
        <v>3018</v>
      </c>
      <c r="D495" t="str">
        <f>VLOOKUP('Sales table'!$A:$A,Customers!$A:$H,2,FALSE)</f>
        <v>Thomas Pennington</v>
      </c>
      <c r="E495">
        <f>VLOOKUP('Sales table'!$A:$A,Customers!$A:$H,4,FALSE)</f>
        <v>49</v>
      </c>
      <c r="F495" t="str">
        <f>VLOOKUP('Sales table'!$A:$A,Customers!$A:$H,5,FALSE)</f>
        <v>Pune</v>
      </c>
      <c r="G495" t="str">
        <f>VLOOKUP($B:$B,Products!$A:$D,2,FALSE)</f>
        <v>Wall Hanging</v>
      </c>
      <c r="H495" t="str">
        <f>VLOOKUP($B:$B,Products!$A:$D,3,FALSE)</f>
        <v>Home Decor</v>
      </c>
      <c r="I495">
        <f>VLOOKUP($B:$B,Products!$A:$D,4,FALSE)</f>
        <v>11867</v>
      </c>
      <c r="J495" s="4">
        <f>VLOOKUP($A:$A,Sales!$B:$H,6,FALSE)</f>
        <v>45613</v>
      </c>
      <c r="K495" s="9">
        <f>VLOOKUP($A:$A,Sales!$B:$H,4,FALSE)</f>
        <v>3</v>
      </c>
      <c r="L495" s="5">
        <f t="shared" si="7"/>
        <v>35601</v>
      </c>
    </row>
    <row r="496" spans="1:12" x14ac:dyDescent="0.3">
      <c r="A496">
        <v>1112</v>
      </c>
      <c r="B496">
        <v>2023</v>
      </c>
      <c r="C496">
        <v>3024</v>
      </c>
      <c r="D496" t="str">
        <f>VLOOKUP('Sales table'!$A:$A,Customers!$A:$H,2,FALSE)</f>
        <v>Ashley Lane</v>
      </c>
      <c r="E496">
        <f>VLOOKUP('Sales table'!$A:$A,Customers!$A:$H,4,FALSE)</f>
        <v>39</v>
      </c>
      <c r="F496" t="str">
        <f>VLOOKUP('Sales table'!$A:$A,Customers!$A:$H,5,FALSE)</f>
        <v>Bangalore</v>
      </c>
      <c r="G496" t="str">
        <f>VLOOKUP($B:$B,Products!$A:$D,2,FALSE)</f>
        <v>Kids Wear</v>
      </c>
      <c r="H496" t="str">
        <f>VLOOKUP($B:$B,Products!$A:$D,3,FALSE)</f>
        <v>Clothing</v>
      </c>
      <c r="I496">
        <f>VLOOKUP($B:$B,Products!$A:$D,4,FALSE)</f>
        <v>4794</v>
      </c>
      <c r="J496" s="4">
        <f>VLOOKUP($A:$A,Sales!$B:$H,6,FALSE)</f>
        <v>45577</v>
      </c>
      <c r="K496" s="9">
        <f>VLOOKUP($A:$A,Sales!$B:$H,4,FALSE)</f>
        <v>4</v>
      </c>
      <c r="L496" s="5">
        <f t="shared" si="7"/>
        <v>19176</v>
      </c>
    </row>
    <row r="497" spans="1:12" x14ac:dyDescent="0.3">
      <c r="A497">
        <v>1228</v>
      </c>
      <c r="B497">
        <v>2012</v>
      </c>
      <c r="C497">
        <v>3003</v>
      </c>
      <c r="D497" t="str">
        <f>VLOOKUP('Sales table'!$A:$A,Customers!$A:$H,2,FALSE)</f>
        <v>Ian Kemp</v>
      </c>
      <c r="E497">
        <f>VLOOKUP('Sales table'!$A:$A,Customers!$A:$H,4,FALSE)</f>
        <v>42</v>
      </c>
      <c r="F497" t="str">
        <f>VLOOKUP('Sales table'!$A:$A,Customers!$A:$H,5,FALSE)</f>
        <v>Kolkata</v>
      </c>
      <c r="G497" t="str">
        <f>VLOOKUP($B:$B,Products!$A:$D,2,FALSE)</f>
        <v>Wall Hanging</v>
      </c>
      <c r="H497" t="str">
        <f>VLOOKUP($B:$B,Products!$A:$D,3,FALSE)</f>
        <v>Home Decor</v>
      </c>
      <c r="I497">
        <f>VLOOKUP($B:$B,Products!$A:$D,4,FALSE)</f>
        <v>11867</v>
      </c>
      <c r="J497" s="4">
        <f>VLOOKUP($A:$A,Sales!$B:$H,6,FALSE)</f>
        <v>45606</v>
      </c>
      <c r="K497" s="9">
        <f>VLOOKUP($A:$A,Sales!$B:$H,4,FALSE)</f>
        <v>4</v>
      </c>
      <c r="L497" s="5">
        <f t="shared" si="7"/>
        <v>47468</v>
      </c>
    </row>
    <row r="498" spans="1:12" x14ac:dyDescent="0.3">
      <c r="A498">
        <v>1171</v>
      </c>
      <c r="B498">
        <v>2017</v>
      </c>
      <c r="C498">
        <v>3029</v>
      </c>
      <c r="D498" t="str">
        <f>VLOOKUP('Sales table'!$A:$A,Customers!$A:$H,2,FALSE)</f>
        <v>Brandon Graves</v>
      </c>
      <c r="E498">
        <f>VLOOKUP('Sales table'!$A:$A,Customers!$A:$H,4,FALSE)</f>
        <v>43</v>
      </c>
      <c r="F498" t="str">
        <f>VLOOKUP('Sales table'!$A:$A,Customers!$A:$H,5,FALSE)</f>
        <v>Delhi</v>
      </c>
      <c r="G498" t="str">
        <f>VLOOKUP($B:$B,Products!$A:$D,2,FALSE)</f>
        <v>Handmade Pottery</v>
      </c>
      <c r="H498" t="str">
        <f>VLOOKUP($B:$B,Products!$A:$D,3,FALSE)</f>
        <v>Home Decor</v>
      </c>
      <c r="I498">
        <f>VLOOKUP($B:$B,Products!$A:$D,4,FALSE)</f>
        <v>8186</v>
      </c>
      <c r="J498" s="4">
        <f>VLOOKUP($A:$A,Sales!$B:$H,6,FALSE)</f>
        <v>45616</v>
      </c>
      <c r="K498" s="9">
        <f>VLOOKUP($A:$A,Sales!$B:$H,4,FALSE)</f>
        <v>1</v>
      </c>
      <c r="L498" s="5">
        <f t="shared" si="7"/>
        <v>8186</v>
      </c>
    </row>
    <row r="499" spans="1:12" x14ac:dyDescent="0.3">
      <c r="A499">
        <v>1141</v>
      </c>
      <c r="B499">
        <v>2018</v>
      </c>
      <c r="C499">
        <v>3025</v>
      </c>
      <c r="D499" t="str">
        <f>VLOOKUP('Sales table'!$A:$A,Customers!$A:$H,2,FALSE)</f>
        <v>Pamela Smith</v>
      </c>
      <c r="E499">
        <f>VLOOKUP('Sales table'!$A:$A,Customers!$A:$H,4,FALSE)</f>
        <v>40</v>
      </c>
      <c r="F499" t="str">
        <f>VLOOKUP('Sales table'!$A:$A,Customers!$A:$H,5,FALSE)</f>
        <v>Bangalore</v>
      </c>
      <c r="G499" t="str">
        <f>VLOOKUP($B:$B,Products!$A:$D,2,FALSE)</f>
        <v>Dry Fruits Pack</v>
      </c>
      <c r="H499" t="str">
        <f>VLOOKUP($B:$B,Products!$A:$D,3,FALSE)</f>
        <v>Sweets &amp; Gifts</v>
      </c>
      <c r="I499">
        <f>VLOOKUP($B:$B,Products!$A:$D,4,FALSE)</f>
        <v>7243</v>
      </c>
      <c r="J499" s="4">
        <f>VLOOKUP($A:$A,Sales!$B:$H,6,FALSE)</f>
        <v>45584</v>
      </c>
      <c r="K499" s="9">
        <f>VLOOKUP($A:$A,Sales!$B:$H,4,FALSE)</f>
        <v>5</v>
      </c>
      <c r="L499" s="5">
        <f t="shared" si="7"/>
        <v>36215</v>
      </c>
    </row>
    <row r="500" spans="1:12" x14ac:dyDescent="0.3">
      <c r="A500">
        <v>1030</v>
      </c>
      <c r="B500">
        <v>2013</v>
      </c>
      <c r="C500">
        <v>3014</v>
      </c>
      <c r="D500" t="str">
        <f>VLOOKUP('Sales table'!$A:$A,Customers!$A:$H,2,FALSE)</f>
        <v>Andrea Hines</v>
      </c>
      <c r="E500">
        <f>VLOOKUP('Sales table'!$A:$A,Customers!$A:$H,4,FALSE)</f>
        <v>49</v>
      </c>
      <c r="F500" t="str">
        <f>VLOOKUP('Sales table'!$A:$A,Customers!$A:$H,5,FALSE)</f>
        <v>Bangalore</v>
      </c>
      <c r="G500" t="str">
        <f>VLOOKUP($B:$B,Products!$A:$D,2,FALSE)</f>
        <v>Silver Coin</v>
      </c>
      <c r="H500" t="str">
        <f>VLOOKUP($B:$B,Products!$A:$D,3,FALSE)</f>
        <v>Precious Items</v>
      </c>
      <c r="I500">
        <f>VLOOKUP($B:$B,Products!$A:$D,4,FALSE)</f>
        <v>11845</v>
      </c>
      <c r="J500" s="4">
        <f>VLOOKUP($A:$A,Sales!$B:$H,6,FALSE)</f>
        <v>45611</v>
      </c>
      <c r="K500" s="9">
        <f>VLOOKUP($A:$A,Sales!$B:$H,4,FALSE)</f>
        <v>4</v>
      </c>
      <c r="L500" s="5">
        <f t="shared" si="7"/>
        <v>47380</v>
      </c>
    </row>
    <row r="501" spans="1:12" x14ac:dyDescent="0.3">
      <c r="A501">
        <v>1109</v>
      </c>
      <c r="B501">
        <v>2014</v>
      </c>
      <c r="C501">
        <v>3002</v>
      </c>
      <c r="D501" t="str">
        <f>VLOOKUP('Sales table'!$A:$A,Customers!$A:$H,2,FALSE)</f>
        <v>Benjamin Blackwell</v>
      </c>
      <c r="E501">
        <f>VLOOKUP('Sales table'!$A:$A,Customers!$A:$H,4,FALSE)</f>
        <v>21</v>
      </c>
      <c r="F501" t="str">
        <f>VLOOKUP('Sales table'!$A:$A,Customers!$A:$H,5,FALSE)</f>
        <v>Delhi</v>
      </c>
      <c r="G501" t="str">
        <f>VLOOKUP($B:$B,Products!$A:$D,2,FALSE)</f>
        <v>Gold Coin</v>
      </c>
      <c r="H501" t="str">
        <f>VLOOKUP($B:$B,Products!$A:$D,3,FALSE)</f>
        <v>Precious Items</v>
      </c>
      <c r="I501">
        <f>VLOOKUP($B:$B,Products!$A:$D,4,FALSE)</f>
        <v>13823</v>
      </c>
      <c r="J501" s="4">
        <f>VLOOKUP($A:$A,Sales!$B:$H,6,FALSE)</f>
        <v>45578</v>
      </c>
      <c r="K501" s="9">
        <f>VLOOKUP($A:$A,Sales!$B:$H,4,FALSE)</f>
        <v>2</v>
      </c>
      <c r="L501" s="5">
        <f t="shared" si="7"/>
        <v>27646</v>
      </c>
    </row>
    <row r="502" spans="1:12" x14ac:dyDescent="0.3">
      <c r="A502">
        <v>1048</v>
      </c>
      <c r="B502">
        <v>2015</v>
      </c>
      <c r="C502">
        <v>3020</v>
      </c>
      <c r="D502" t="str">
        <f>VLOOKUP('Sales table'!$A:$A,Customers!$A:$H,2,FALSE)</f>
        <v>James Callahan</v>
      </c>
      <c r="E502">
        <f>VLOOKUP('Sales table'!$A:$A,Customers!$A:$H,4,FALSE)</f>
        <v>40</v>
      </c>
      <c r="F502" t="str">
        <f>VLOOKUP('Sales table'!$A:$A,Customers!$A:$H,5,FALSE)</f>
        <v>Pune</v>
      </c>
      <c r="G502" t="str">
        <f>VLOOKUP($B:$B,Products!$A:$D,2,FALSE)</f>
        <v>Candle Set</v>
      </c>
      <c r="H502" t="str">
        <f>VLOOKUP($B:$B,Products!$A:$D,3,FALSE)</f>
        <v>Home Decor</v>
      </c>
      <c r="I502">
        <f>VLOOKUP($B:$B,Products!$A:$D,4,FALSE)</f>
        <v>17604</v>
      </c>
      <c r="J502" s="4">
        <f>VLOOKUP($A:$A,Sales!$B:$H,6,FALSE)</f>
        <v>45601</v>
      </c>
      <c r="K502" s="9">
        <f>VLOOKUP($A:$A,Sales!$B:$H,4,FALSE)</f>
        <v>2</v>
      </c>
      <c r="L502" s="5">
        <f t="shared" si="7"/>
        <v>35208</v>
      </c>
    </row>
    <row r="503" spans="1:12" x14ac:dyDescent="0.3">
      <c r="A503">
        <v>1020</v>
      </c>
      <c r="B503">
        <v>2013</v>
      </c>
      <c r="C503">
        <v>3010</v>
      </c>
      <c r="D503" t="str">
        <f>VLOOKUP('Sales table'!$A:$A,Customers!$A:$H,2,FALSE)</f>
        <v>Mallory Jackson</v>
      </c>
      <c r="E503">
        <f>VLOOKUP('Sales table'!$A:$A,Customers!$A:$H,4,FALSE)</f>
        <v>60</v>
      </c>
      <c r="F503" t="str">
        <f>VLOOKUP('Sales table'!$A:$A,Customers!$A:$H,5,FALSE)</f>
        <v>Kolkata</v>
      </c>
      <c r="G503" t="str">
        <f>VLOOKUP($B:$B,Products!$A:$D,2,FALSE)</f>
        <v>Silver Coin</v>
      </c>
      <c r="H503" t="str">
        <f>VLOOKUP($B:$B,Products!$A:$D,3,FALSE)</f>
        <v>Precious Items</v>
      </c>
      <c r="I503">
        <f>VLOOKUP($B:$B,Products!$A:$D,4,FALSE)</f>
        <v>11845</v>
      </c>
      <c r="J503" s="4">
        <f>VLOOKUP($A:$A,Sales!$B:$H,6,FALSE)</f>
        <v>45610</v>
      </c>
      <c r="K503" s="9">
        <f>VLOOKUP($A:$A,Sales!$B:$H,4,FALSE)</f>
        <v>4</v>
      </c>
      <c r="L503" s="5">
        <f t="shared" si="7"/>
        <v>47380</v>
      </c>
    </row>
    <row r="504" spans="1:12" x14ac:dyDescent="0.3">
      <c r="A504">
        <v>1146</v>
      </c>
      <c r="B504">
        <v>2001</v>
      </c>
      <c r="C504">
        <v>3008</v>
      </c>
      <c r="D504" t="str">
        <f>VLOOKUP('Sales table'!$A:$A,Customers!$A:$H,2,FALSE)</f>
        <v>Angela Martin</v>
      </c>
      <c r="E504">
        <f>VLOOKUP('Sales table'!$A:$A,Customers!$A:$H,4,FALSE)</f>
        <v>61</v>
      </c>
      <c r="F504" t="str">
        <f>VLOOKUP('Sales table'!$A:$A,Customers!$A:$H,5,FALSE)</f>
        <v>Bangalore</v>
      </c>
      <c r="G504" t="str">
        <f>VLOOKUP($B:$B,Products!$A:$D,2,FALSE)</f>
        <v>Sweets Box</v>
      </c>
      <c r="H504" t="str">
        <f>VLOOKUP($B:$B,Products!$A:$D,3,FALSE)</f>
        <v>Sweets &amp; Gifts</v>
      </c>
      <c r="I504">
        <f>VLOOKUP($B:$B,Products!$A:$D,4,FALSE)</f>
        <v>7228</v>
      </c>
      <c r="J504" s="4">
        <f>VLOOKUP($A:$A,Sales!$B:$H,6,FALSE)</f>
        <v>45608</v>
      </c>
      <c r="K504" s="9">
        <f>VLOOKUP($A:$A,Sales!$B:$H,4,FALSE)</f>
        <v>1</v>
      </c>
      <c r="L504" s="5">
        <f t="shared" si="7"/>
        <v>7228</v>
      </c>
    </row>
    <row r="505" spans="1:12" x14ac:dyDescent="0.3">
      <c r="A505">
        <v>1220</v>
      </c>
      <c r="B505">
        <v>2007</v>
      </c>
      <c r="C505">
        <v>3002</v>
      </c>
      <c r="D505" t="str">
        <f>VLOOKUP('Sales table'!$A:$A,Customers!$A:$H,2,FALSE)</f>
        <v>Desiree Reed</v>
      </c>
      <c r="E505">
        <f>VLOOKUP('Sales table'!$A:$A,Customers!$A:$H,4,FALSE)</f>
        <v>29</v>
      </c>
      <c r="F505" t="str">
        <f>VLOOKUP('Sales table'!$A:$A,Customers!$A:$H,5,FALSE)</f>
        <v>Hyderabad</v>
      </c>
      <c r="G505" t="str">
        <f>VLOOKUP($B:$B,Products!$A:$D,2,FALSE)</f>
        <v>Gift Hamper</v>
      </c>
      <c r="H505" t="str">
        <f>VLOOKUP($B:$B,Products!$A:$D,3,FALSE)</f>
        <v>Sweets &amp; Gifts</v>
      </c>
      <c r="I505">
        <f>VLOOKUP($B:$B,Products!$A:$D,4,FALSE)</f>
        <v>3412</v>
      </c>
      <c r="J505" s="4">
        <f>VLOOKUP($A:$A,Sales!$B:$H,6,FALSE)</f>
        <v>45608</v>
      </c>
      <c r="K505" s="9">
        <f>VLOOKUP($A:$A,Sales!$B:$H,4,FALSE)</f>
        <v>2</v>
      </c>
      <c r="L505" s="5">
        <f t="shared" si="7"/>
        <v>6824</v>
      </c>
    </row>
    <row r="506" spans="1:12" x14ac:dyDescent="0.3">
      <c r="A506">
        <v>1136</v>
      </c>
      <c r="B506">
        <v>2013</v>
      </c>
      <c r="C506">
        <v>3020</v>
      </c>
      <c r="D506" t="str">
        <f>VLOOKUP('Sales table'!$A:$A,Customers!$A:$H,2,FALSE)</f>
        <v>Brooke Oliver</v>
      </c>
      <c r="E506">
        <f>VLOOKUP('Sales table'!$A:$A,Customers!$A:$H,4,FALSE)</f>
        <v>30</v>
      </c>
      <c r="F506" t="str">
        <f>VLOOKUP('Sales table'!$A:$A,Customers!$A:$H,5,FALSE)</f>
        <v>Chennai</v>
      </c>
      <c r="G506" t="str">
        <f>VLOOKUP($B:$B,Products!$A:$D,2,FALSE)</f>
        <v>Silver Coin</v>
      </c>
      <c r="H506" t="str">
        <f>VLOOKUP($B:$B,Products!$A:$D,3,FALSE)</f>
        <v>Precious Items</v>
      </c>
      <c r="I506">
        <f>VLOOKUP($B:$B,Products!$A:$D,4,FALSE)</f>
        <v>11845</v>
      </c>
      <c r="J506" s="4">
        <f>VLOOKUP($A:$A,Sales!$B:$H,6,FALSE)</f>
        <v>45587</v>
      </c>
      <c r="K506" s="9">
        <f>VLOOKUP($A:$A,Sales!$B:$H,4,FALSE)</f>
        <v>4</v>
      </c>
      <c r="L506" s="5">
        <f t="shared" si="7"/>
        <v>47380</v>
      </c>
    </row>
    <row r="507" spans="1:12" x14ac:dyDescent="0.3">
      <c r="A507">
        <v>1273</v>
      </c>
      <c r="B507">
        <v>2005</v>
      </c>
      <c r="C507">
        <v>3019</v>
      </c>
      <c r="D507" t="str">
        <f>VLOOKUP('Sales table'!$A:$A,Customers!$A:$H,2,FALSE)</f>
        <v>Anthony Mayer</v>
      </c>
      <c r="E507">
        <f>VLOOKUP('Sales table'!$A:$A,Customers!$A:$H,4,FALSE)</f>
        <v>47</v>
      </c>
      <c r="F507" t="str">
        <f>VLOOKUP('Sales table'!$A:$A,Customers!$A:$H,5,FALSE)</f>
        <v>Pune</v>
      </c>
      <c r="G507" t="str">
        <f>VLOOKUP($B:$B,Products!$A:$D,2,FALSE)</f>
        <v>LED Lamp</v>
      </c>
      <c r="H507" t="str">
        <f>VLOOKUP($B:$B,Products!$A:$D,3,FALSE)</f>
        <v>Home Decor</v>
      </c>
      <c r="I507">
        <f>VLOOKUP($B:$B,Products!$A:$D,4,FALSE)</f>
        <v>3828</v>
      </c>
      <c r="J507" s="4">
        <f>VLOOKUP($A:$A,Sales!$B:$H,6,FALSE)</f>
        <v>45581</v>
      </c>
      <c r="K507" s="9">
        <f>VLOOKUP($A:$A,Sales!$B:$H,4,FALSE)</f>
        <v>1</v>
      </c>
      <c r="L507" s="5">
        <f t="shared" si="7"/>
        <v>3828</v>
      </c>
    </row>
    <row r="508" spans="1:12" x14ac:dyDescent="0.3">
      <c r="A508">
        <v>1207</v>
      </c>
      <c r="B508">
        <v>2023</v>
      </c>
      <c r="C508">
        <v>3034</v>
      </c>
      <c r="D508" t="str">
        <f>VLOOKUP('Sales table'!$A:$A,Customers!$A:$H,2,FALSE)</f>
        <v>Jeffrey Curtis</v>
      </c>
      <c r="E508">
        <f>VLOOKUP('Sales table'!$A:$A,Customers!$A:$H,4,FALSE)</f>
        <v>26</v>
      </c>
      <c r="F508" t="str">
        <f>VLOOKUP('Sales table'!$A:$A,Customers!$A:$H,5,FALSE)</f>
        <v>Mumbai</v>
      </c>
      <c r="G508" t="str">
        <f>VLOOKUP($B:$B,Products!$A:$D,2,FALSE)</f>
        <v>Kids Wear</v>
      </c>
      <c r="H508" t="str">
        <f>VLOOKUP($B:$B,Products!$A:$D,3,FALSE)</f>
        <v>Clothing</v>
      </c>
      <c r="I508">
        <f>VLOOKUP($B:$B,Products!$A:$D,4,FALSE)</f>
        <v>4794</v>
      </c>
      <c r="J508" s="4">
        <f>VLOOKUP($A:$A,Sales!$B:$H,6,FALSE)</f>
        <v>45596</v>
      </c>
      <c r="K508" s="9">
        <f>VLOOKUP($A:$A,Sales!$B:$H,4,FALSE)</f>
        <v>1</v>
      </c>
      <c r="L508" s="5">
        <f t="shared" si="7"/>
        <v>4794</v>
      </c>
    </row>
    <row r="509" spans="1:12" x14ac:dyDescent="0.3">
      <c r="A509">
        <v>1126</v>
      </c>
      <c r="B509">
        <v>2025</v>
      </c>
      <c r="C509">
        <v>3010</v>
      </c>
      <c r="D509" t="str">
        <f>VLOOKUP('Sales table'!$A:$A,Customers!$A:$H,2,FALSE)</f>
        <v>Michael Dawson</v>
      </c>
      <c r="E509">
        <f>VLOOKUP('Sales table'!$A:$A,Customers!$A:$H,4,FALSE)</f>
        <v>63</v>
      </c>
      <c r="F509" t="str">
        <f>VLOOKUP('Sales table'!$A:$A,Customers!$A:$H,5,FALSE)</f>
        <v>Chennai</v>
      </c>
      <c r="G509" t="str">
        <f>VLOOKUP($B:$B,Products!$A:$D,2,FALSE)</f>
        <v>Handbag</v>
      </c>
      <c r="H509" t="str">
        <f>VLOOKUP($B:$B,Products!$A:$D,3,FALSE)</f>
        <v>Accessories</v>
      </c>
      <c r="I509">
        <f>VLOOKUP($B:$B,Products!$A:$D,4,FALSE)</f>
        <v>17019</v>
      </c>
      <c r="J509" s="4">
        <f>VLOOKUP($A:$A,Sales!$B:$H,6,FALSE)</f>
        <v>45595</v>
      </c>
      <c r="K509" s="9">
        <f>VLOOKUP($A:$A,Sales!$B:$H,4,FALSE)</f>
        <v>5</v>
      </c>
      <c r="L509" s="5">
        <f t="shared" si="7"/>
        <v>85095</v>
      </c>
    </row>
    <row r="510" spans="1:12" x14ac:dyDescent="0.3">
      <c r="A510">
        <v>1255</v>
      </c>
      <c r="B510">
        <v>2007</v>
      </c>
      <c r="C510">
        <v>3022</v>
      </c>
      <c r="D510" t="str">
        <f>VLOOKUP('Sales table'!$A:$A,Customers!$A:$H,2,FALSE)</f>
        <v>Sarah Day</v>
      </c>
      <c r="E510">
        <f>VLOOKUP('Sales table'!$A:$A,Customers!$A:$H,4,FALSE)</f>
        <v>48</v>
      </c>
      <c r="F510" t="str">
        <f>VLOOKUP('Sales table'!$A:$A,Customers!$A:$H,5,FALSE)</f>
        <v>Mumbai</v>
      </c>
      <c r="G510" t="str">
        <f>VLOOKUP($B:$B,Products!$A:$D,2,FALSE)</f>
        <v>Gift Hamper</v>
      </c>
      <c r="H510" t="str">
        <f>VLOOKUP($B:$B,Products!$A:$D,3,FALSE)</f>
        <v>Sweets &amp; Gifts</v>
      </c>
      <c r="I510">
        <f>VLOOKUP($B:$B,Products!$A:$D,4,FALSE)</f>
        <v>3412</v>
      </c>
      <c r="J510" s="4">
        <f>VLOOKUP($A:$A,Sales!$B:$H,6,FALSE)</f>
        <v>45587</v>
      </c>
      <c r="K510" s="9">
        <f>VLOOKUP($A:$A,Sales!$B:$H,4,FALSE)</f>
        <v>4</v>
      </c>
      <c r="L510" s="5">
        <f t="shared" si="7"/>
        <v>13648</v>
      </c>
    </row>
    <row r="511" spans="1:12" x14ac:dyDescent="0.3">
      <c r="A511">
        <v>1249</v>
      </c>
      <c r="B511">
        <v>2010</v>
      </c>
      <c r="C511">
        <v>3021</v>
      </c>
      <c r="D511" t="str">
        <f>VLOOKUP('Sales table'!$A:$A,Customers!$A:$H,2,FALSE)</f>
        <v>Robert Keller</v>
      </c>
      <c r="E511">
        <f>VLOOKUP('Sales table'!$A:$A,Customers!$A:$H,4,FALSE)</f>
        <v>22</v>
      </c>
      <c r="F511" t="str">
        <f>VLOOKUP('Sales table'!$A:$A,Customers!$A:$H,5,FALSE)</f>
        <v>Mumbai</v>
      </c>
      <c r="G511" t="str">
        <f>VLOOKUP($B:$B,Products!$A:$D,2,FALSE)</f>
        <v>Chocolate Box</v>
      </c>
      <c r="H511" t="str">
        <f>VLOOKUP($B:$B,Products!$A:$D,3,FALSE)</f>
        <v>Sweets &amp; Gifts</v>
      </c>
      <c r="I511">
        <f>VLOOKUP($B:$B,Products!$A:$D,4,FALSE)</f>
        <v>17909</v>
      </c>
      <c r="J511" s="4">
        <f>VLOOKUP($A:$A,Sales!$B:$H,6,FALSE)</f>
        <v>45575</v>
      </c>
      <c r="K511" s="9">
        <f>VLOOKUP($A:$A,Sales!$B:$H,4,FALSE)</f>
        <v>3</v>
      </c>
      <c r="L511" s="5">
        <f t="shared" si="7"/>
        <v>53727</v>
      </c>
    </row>
    <row r="512" spans="1:12" x14ac:dyDescent="0.3">
      <c r="A512">
        <v>1213</v>
      </c>
      <c r="B512">
        <v>2020</v>
      </c>
      <c r="C512">
        <v>3016</v>
      </c>
      <c r="D512" t="str">
        <f>VLOOKUP('Sales table'!$A:$A,Customers!$A:$H,2,FALSE)</f>
        <v>Michael Compton</v>
      </c>
      <c r="E512">
        <f>VLOOKUP('Sales table'!$A:$A,Customers!$A:$H,4,FALSE)</f>
        <v>55</v>
      </c>
      <c r="F512" t="str">
        <f>VLOOKUP('Sales table'!$A:$A,Customers!$A:$H,5,FALSE)</f>
        <v>Mumbai</v>
      </c>
      <c r="G512" t="str">
        <f>VLOOKUP($B:$B,Products!$A:$D,2,FALSE)</f>
        <v>Ethnic Jewelry</v>
      </c>
      <c r="H512" t="str">
        <f>VLOOKUP($B:$B,Products!$A:$D,3,FALSE)</f>
        <v>Precious Items</v>
      </c>
      <c r="I512">
        <f>VLOOKUP($B:$B,Products!$A:$D,4,FALSE)</f>
        <v>4495</v>
      </c>
      <c r="J512" s="4">
        <f>VLOOKUP($A:$A,Sales!$B:$H,6,FALSE)</f>
        <v>45615</v>
      </c>
      <c r="K512" s="9">
        <f>VLOOKUP($A:$A,Sales!$B:$H,4,FALSE)</f>
        <v>1</v>
      </c>
      <c r="L512" s="5">
        <f t="shared" si="7"/>
        <v>4495</v>
      </c>
    </row>
    <row r="513" spans="1:12" x14ac:dyDescent="0.3">
      <c r="A513">
        <v>1145</v>
      </c>
      <c r="B513">
        <v>2017</v>
      </c>
      <c r="C513">
        <v>3026</v>
      </c>
      <c r="D513" t="str">
        <f>VLOOKUP('Sales table'!$A:$A,Customers!$A:$H,2,FALSE)</f>
        <v>Valerie Love</v>
      </c>
      <c r="E513">
        <f>VLOOKUP('Sales table'!$A:$A,Customers!$A:$H,4,FALSE)</f>
        <v>51</v>
      </c>
      <c r="F513" t="str">
        <f>VLOOKUP('Sales table'!$A:$A,Customers!$A:$H,5,FALSE)</f>
        <v>Mumbai</v>
      </c>
      <c r="G513" t="str">
        <f>VLOOKUP($B:$B,Products!$A:$D,2,FALSE)</f>
        <v>Handmade Pottery</v>
      </c>
      <c r="H513" t="str">
        <f>VLOOKUP($B:$B,Products!$A:$D,3,FALSE)</f>
        <v>Home Decor</v>
      </c>
      <c r="I513">
        <f>VLOOKUP($B:$B,Products!$A:$D,4,FALSE)</f>
        <v>8186</v>
      </c>
      <c r="J513" s="4">
        <f>VLOOKUP($A:$A,Sales!$B:$H,6,FALSE)</f>
        <v>45610</v>
      </c>
      <c r="K513" s="9">
        <f>VLOOKUP($A:$A,Sales!$B:$H,4,FALSE)</f>
        <v>3</v>
      </c>
      <c r="L513" s="5">
        <f t="shared" si="7"/>
        <v>24558</v>
      </c>
    </row>
    <row r="514" spans="1:12" x14ac:dyDescent="0.3">
      <c r="A514">
        <v>1137</v>
      </c>
      <c r="B514">
        <v>2016</v>
      </c>
      <c r="C514">
        <v>3015</v>
      </c>
      <c r="D514" t="str">
        <f>VLOOKUP('Sales table'!$A:$A,Customers!$A:$H,2,FALSE)</f>
        <v>Karen Perez</v>
      </c>
      <c r="E514">
        <f>VLOOKUP('Sales table'!$A:$A,Customers!$A:$H,4,FALSE)</f>
        <v>61</v>
      </c>
      <c r="F514" t="str">
        <f>VLOOKUP('Sales table'!$A:$A,Customers!$A:$H,5,FALSE)</f>
        <v>Mumbai</v>
      </c>
      <c r="G514" t="str">
        <f>VLOOKUP($B:$B,Products!$A:$D,2,FALSE)</f>
        <v>Fairy Lights</v>
      </c>
      <c r="H514" t="str">
        <f>VLOOKUP($B:$B,Products!$A:$D,3,FALSE)</f>
        <v>Home Decor</v>
      </c>
      <c r="I514">
        <f>VLOOKUP($B:$B,Products!$A:$D,4,FALSE)</f>
        <v>12242</v>
      </c>
      <c r="J514" s="4">
        <f>VLOOKUP($A:$A,Sales!$B:$H,6,FALSE)</f>
        <v>45599</v>
      </c>
      <c r="K514" s="9">
        <f>VLOOKUP($A:$A,Sales!$B:$H,4,FALSE)</f>
        <v>4</v>
      </c>
      <c r="L514" s="5">
        <f t="shared" si="7"/>
        <v>48968</v>
      </c>
    </row>
    <row r="515" spans="1:12" x14ac:dyDescent="0.3">
      <c r="A515">
        <v>1133</v>
      </c>
      <c r="B515">
        <v>2005</v>
      </c>
      <c r="C515">
        <v>3013</v>
      </c>
      <c r="D515" t="str">
        <f>VLOOKUP('Sales table'!$A:$A,Customers!$A:$H,2,FALSE)</f>
        <v>Timothy Hunt</v>
      </c>
      <c r="E515">
        <f>VLOOKUP('Sales table'!$A:$A,Customers!$A:$H,4,FALSE)</f>
        <v>37</v>
      </c>
      <c r="F515" t="str">
        <f>VLOOKUP('Sales table'!$A:$A,Customers!$A:$H,5,FALSE)</f>
        <v>Kolkata</v>
      </c>
      <c r="G515" t="str">
        <f>VLOOKUP($B:$B,Products!$A:$D,2,FALSE)</f>
        <v>LED Lamp</v>
      </c>
      <c r="H515" t="str">
        <f>VLOOKUP($B:$B,Products!$A:$D,3,FALSE)</f>
        <v>Home Decor</v>
      </c>
      <c r="I515">
        <f>VLOOKUP($B:$B,Products!$A:$D,4,FALSE)</f>
        <v>3828</v>
      </c>
      <c r="J515" s="4">
        <f>VLOOKUP($A:$A,Sales!$B:$H,6,FALSE)</f>
        <v>45583</v>
      </c>
      <c r="K515" s="9">
        <f>VLOOKUP($A:$A,Sales!$B:$H,4,FALSE)</f>
        <v>4</v>
      </c>
      <c r="L515" s="5">
        <f t="shared" ref="L515:L578" si="8">I515*K515</f>
        <v>15312</v>
      </c>
    </row>
    <row r="516" spans="1:12" x14ac:dyDescent="0.3">
      <c r="A516">
        <v>1072</v>
      </c>
      <c r="B516">
        <v>2012</v>
      </c>
      <c r="C516">
        <v>3003</v>
      </c>
      <c r="D516" t="str">
        <f>VLOOKUP('Sales table'!$A:$A,Customers!$A:$H,2,FALSE)</f>
        <v>Michael Torres</v>
      </c>
      <c r="E516">
        <f>VLOOKUP('Sales table'!$A:$A,Customers!$A:$H,4,FALSE)</f>
        <v>29</v>
      </c>
      <c r="F516" t="str">
        <f>VLOOKUP('Sales table'!$A:$A,Customers!$A:$H,5,FALSE)</f>
        <v>Delhi</v>
      </c>
      <c r="G516" t="str">
        <f>VLOOKUP($B:$B,Products!$A:$D,2,FALSE)</f>
        <v>Wall Hanging</v>
      </c>
      <c r="H516" t="str">
        <f>VLOOKUP($B:$B,Products!$A:$D,3,FALSE)</f>
        <v>Home Decor</v>
      </c>
      <c r="I516">
        <f>VLOOKUP($B:$B,Products!$A:$D,4,FALSE)</f>
        <v>11867</v>
      </c>
      <c r="J516" s="4">
        <f>VLOOKUP($A:$A,Sales!$B:$H,6,FALSE)</f>
        <v>45606</v>
      </c>
      <c r="K516" s="9">
        <f>VLOOKUP($A:$A,Sales!$B:$H,4,FALSE)</f>
        <v>2</v>
      </c>
      <c r="L516" s="5">
        <f t="shared" si="8"/>
        <v>23734</v>
      </c>
    </row>
    <row r="517" spans="1:12" x14ac:dyDescent="0.3">
      <c r="A517">
        <v>1133</v>
      </c>
      <c r="B517">
        <v>2003</v>
      </c>
      <c r="C517">
        <v>3031</v>
      </c>
      <c r="D517" t="str">
        <f>VLOOKUP('Sales table'!$A:$A,Customers!$A:$H,2,FALSE)</f>
        <v>Timothy Hunt</v>
      </c>
      <c r="E517">
        <f>VLOOKUP('Sales table'!$A:$A,Customers!$A:$H,4,FALSE)</f>
        <v>37</v>
      </c>
      <c r="F517" t="str">
        <f>VLOOKUP('Sales table'!$A:$A,Customers!$A:$H,5,FALSE)</f>
        <v>Kolkata</v>
      </c>
      <c r="G517" t="str">
        <f>VLOOKUP($B:$B,Products!$A:$D,2,FALSE)</f>
        <v>Kurta</v>
      </c>
      <c r="H517" t="str">
        <f>VLOOKUP($B:$B,Products!$A:$D,3,FALSE)</f>
        <v>Clothing</v>
      </c>
      <c r="I517">
        <f>VLOOKUP($B:$B,Products!$A:$D,4,FALSE)</f>
        <v>13241</v>
      </c>
      <c r="J517" s="4">
        <f>VLOOKUP($A:$A,Sales!$B:$H,6,FALSE)</f>
        <v>45583</v>
      </c>
      <c r="K517" s="9">
        <f>VLOOKUP($A:$A,Sales!$B:$H,4,FALSE)</f>
        <v>4</v>
      </c>
      <c r="L517" s="5">
        <f t="shared" si="8"/>
        <v>52964</v>
      </c>
    </row>
    <row r="518" spans="1:12" x14ac:dyDescent="0.3">
      <c r="A518">
        <v>1252</v>
      </c>
      <c r="B518">
        <v>2015</v>
      </c>
      <c r="C518">
        <v>3019</v>
      </c>
      <c r="D518" t="str">
        <f>VLOOKUP('Sales table'!$A:$A,Customers!$A:$H,2,FALSE)</f>
        <v>Sheryl Henderson</v>
      </c>
      <c r="E518">
        <f>VLOOKUP('Sales table'!$A:$A,Customers!$A:$H,4,FALSE)</f>
        <v>41</v>
      </c>
      <c r="F518" t="str">
        <f>VLOOKUP('Sales table'!$A:$A,Customers!$A:$H,5,FALSE)</f>
        <v>Mumbai</v>
      </c>
      <c r="G518" t="str">
        <f>VLOOKUP($B:$B,Products!$A:$D,2,FALSE)</f>
        <v>Candle Set</v>
      </c>
      <c r="H518" t="str">
        <f>VLOOKUP($B:$B,Products!$A:$D,3,FALSE)</f>
        <v>Home Decor</v>
      </c>
      <c r="I518">
        <f>VLOOKUP($B:$B,Products!$A:$D,4,FALSE)</f>
        <v>17604</v>
      </c>
      <c r="J518" s="4">
        <f>VLOOKUP($A:$A,Sales!$B:$H,6,FALSE)</f>
        <v>45611</v>
      </c>
      <c r="K518" s="9">
        <f>VLOOKUP($A:$A,Sales!$B:$H,4,FALSE)</f>
        <v>1</v>
      </c>
      <c r="L518" s="5">
        <f t="shared" si="8"/>
        <v>17604</v>
      </c>
    </row>
    <row r="519" spans="1:12" x14ac:dyDescent="0.3">
      <c r="A519">
        <v>1041</v>
      </c>
      <c r="B519">
        <v>2011</v>
      </c>
      <c r="C519">
        <v>3011</v>
      </c>
      <c r="D519" t="str">
        <f>VLOOKUP('Sales table'!$A:$A,Customers!$A:$H,2,FALSE)</f>
        <v>Vincent Hale</v>
      </c>
      <c r="E519">
        <f>VLOOKUP('Sales table'!$A:$A,Customers!$A:$H,4,FALSE)</f>
        <v>31</v>
      </c>
      <c r="F519" t="str">
        <f>VLOOKUP('Sales table'!$A:$A,Customers!$A:$H,5,FALSE)</f>
        <v>Delhi</v>
      </c>
      <c r="G519" t="str">
        <f>VLOOKUP($B:$B,Products!$A:$D,2,FALSE)</f>
        <v>Festive Thali</v>
      </c>
      <c r="H519" t="str">
        <f>VLOOKUP($B:$B,Products!$A:$D,3,FALSE)</f>
        <v>Other</v>
      </c>
      <c r="I519">
        <f>VLOOKUP($B:$B,Products!$A:$D,4,FALSE)</f>
        <v>7481</v>
      </c>
      <c r="J519" s="4">
        <f>VLOOKUP($A:$A,Sales!$B:$H,6,FALSE)</f>
        <v>45594</v>
      </c>
      <c r="K519" s="9">
        <f>VLOOKUP($A:$A,Sales!$B:$H,4,FALSE)</f>
        <v>2</v>
      </c>
      <c r="L519" s="5">
        <f t="shared" si="8"/>
        <v>14962</v>
      </c>
    </row>
    <row r="520" spans="1:12" x14ac:dyDescent="0.3">
      <c r="A520">
        <v>1038</v>
      </c>
      <c r="B520">
        <v>2020</v>
      </c>
      <c r="C520">
        <v>3028</v>
      </c>
      <c r="D520" t="str">
        <f>VLOOKUP('Sales table'!$A:$A,Customers!$A:$H,2,FALSE)</f>
        <v>Eric Escobar</v>
      </c>
      <c r="E520">
        <f>VLOOKUP('Sales table'!$A:$A,Customers!$A:$H,4,FALSE)</f>
        <v>64</v>
      </c>
      <c r="F520" t="str">
        <f>VLOOKUP('Sales table'!$A:$A,Customers!$A:$H,5,FALSE)</f>
        <v>Pune</v>
      </c>
      <c r="G520" t="str">
        <f>VLOOKUP($B:$B,Products!$A:$D,2,FALSE)</f>
        <v>Ethnic Jewelry</v>
      </c>
      <c r="H520" t="str">
        <f>VLOOKUP($B:$B,Products!$A:$D,3,FALSE)</f>
        <v>Precious Items</v>
      </c>
      <c r="I520">
        <f>VLOOKUP($B:$B,Products!$A:$D,4,FALSE)</f>
        <v>4495</v>
      </c>
      <c r="J520" s="4">
        <f>VLOOKUP($A:$A,Sales!$B:$H,6,FALSE)</f>
        <v>45604</v>
      </c>
      <c r="K520" s="9">
        <f>VLOOKUP($A:$A,Sales!$B:$H,4,FALSE)</f>
        <v>4</v>
      </c>
      <c r="L520" s="5">
        <f t="shared" si="8"/>
        <v>17980</v>
      </c>
    </row>
    <row r="521" spans="1:12" x14ac:dyDescent="0.3">
      <c r="A521">
        <v>1263</v>
      </c>
      <c r="B521">
        <v>2004</v>
      </c>
      <c r="C521">
        <v>3001</v>
      </c>
      <c r="D521" t="str">
        <f>VLOOKUP('Sales table'!$A:$A,Customers!$A:$H,2,FALSE)</f>
        <v>Jordan Smith</v>
      </c>
      <c r="E521">
        <f>VLOOKUP('Sales table'!$A:$A,Customers!$A:$H,4,FALSE)</f>
        <v>38</v>
      </c>
      <c r="F521" t="str">
        <f>VLOOKUP('Sales table'!$A:$A,Customers!$A:$H,5,FALSE)</f>
        <v>Kolkata</v>
      </c>
      <c r="G521" t="str">
        <f>VLOOKUP($B:$B,Products!$A:$D,2,FALSE)</f>
        <v>Smartphone</v>
      </c>
      <c r="H521" t="str">
        <f>VLOOKUP($B:$B,Products!$A:$D,3,FALSE)</f>
        <v>Electronics</v>
      </c>
      <c r="I521">
        <f>VLOOKUP($B:$B,Products!$A:$D,4,FALSE)</f>
        <v>4952</v>
      </c>
      <c r="J521" s="4">
        <f>VLOOKUP($A:$A,Sales!$B:$H,6,FALSE)</f>
        <v>45581</v>
      </c>
      <c r="K521" s="9">
        <f>VLOOKUP($A:$A,Sales!$B:$H,4,FALSE)</f>
        <v>1</v>
      </c>
      <c r="L521" s="5">
        <f t="shared" si="8"/>
        <v>4952</v>
      </c>
    </row>
    <row r="522" spans="1:12" x14ac:dyDescent="0.3">
      <c r="A522">
        <v>1172</v>
      </c>
      <c r="B522">
        <v>2014</v>
      </c>
      <c r="C522">
        <v>3025</v>
      </c>
      <c r="D522" t="str">
        <f>VLOOKUP('Sales table'!$A:$A,Customers!$A:$H,2,FALSE)</f>
        <v>Angela Rivera</v>
      </c>
      <c r="E522">
        <f>VLOOKUP('Sales table'!$A:$A,Customers!$A:$H,4,FALSE)</f>
        <v>44</v>
      </c>
      <c r="F522" t="str">
        <f>VLOOKUP('Sales table'!$A:$A,Customers!$A:$H,5,FALSE)</f>
        <v>Mumbai</v>
      </c>
      <c r="G522" t="str">
        <f>VLOOKUP($B:$B,Products!$A:$D,2,FALSE)</f>
        <v>Gold Coin</v>
      </c>
      <c r="H522" t="str">
        <f>VLOOKUP($B:$B,Products!$A:$D,3,FALSE)</f>
        <v>Precious Items</v>
      </c>
      <c r="I522">
        <f>VLOOKUP($B:$B,Products!$A:$D,4,FALSE)</f>
        <v>13823</v>
      </c>
      <c r="J522" s="4">
        <f>VLOOKUP($A:$A,Sales!$B:$H,6,FALSE)</f>
        <v>45587</v>
      </c>
      <c r="K522" s="9">
        <f>VLOOKUP($A:$A,Sales!$B:$H,4,FALSE)</f>
        <v>4</v>
      </c>
      <c r="L522" s="5">
        <f t="shared" si="8"/>
        <v>55292</v>
      </c>
    </row>
    <row r="523" spans="1:12" x14ac:dyDescent="0.3">
      <c r="A523">
        <v>1005</v>
      </c>
      <c r="B523">
        <v>2016</v>
      </c>
      <c r="C523">
        <v>3025</v>
      </c>
      <c r="D523" t="str">
        <f>VLOOKUP('Sales table'!$A:$A,Customers!$A:$H,2,FALSE)</f>
        <v>Nathan Porter</v>
      </c>
      <c r="E523">
        <f>VLOOKUP('Sales table'!$A:$A,Customers!$A:$H,4,FALSE)</f>
        <v>49</v>
      </c>
      <c r="F523" t="str">
        <f>VLOOKUP('Sales table'!$A:$A,Customers!$A:$H,5,FALSE)</f>
        <v>Mumbai</v>
      </c>
      <c r="G523" t="str">
        <f>VLOOKUP($B:$B,Products!$A:$D,2,FALSE)</f>
        <v>Fairy Lights</v>
      </c>
      <c r="H523" t="str">
        <f>VLOOKUP($B:$B,Products!$A:$D,3,FALSE)</f>
        <v>Home Decor</v>
      </c>
      <c r="I523">
        <f>VLOOKUP($B:$B,Products!$A:$D,4,FALSE)</f>
        <v>12242</v>
      </c>
      <c r="J523" s="4">
        <f>VLOOKUP($A:$A,Sales!$B:$H,6,FALSE)</f>
        <v>45604</v>
      </c>
      <c r="K523" s="9">
        <f>VLOOKUP($A:$A,Sales!$B:$H,4,FALSE)</f>
        <v>4</v>
      </c>
      <c r="L523" s="5">
        <f t="shared" si="8"/>
        <v>48968</v>
      </c>
    </row>
    <row r="524" spans="1:12" x14ac:dyDescent="0.3">
      <c r="A524">
        <v>1110</v>
      </c>
      <c r="B524">
        <v>2005</v>
      </c>
      <c r="C524">
        <v>3033</v>
      </c>
      <c r="D524" t="str">
        <f>VLOOKUP('Sales table'!$A:$A,Customers!$A:$H,2,FALSE)</f>
        <v>Michelle Hardin</v>
      </c>
      <c r="E524">
        <f>VLOOKUP('Sales table'!$A:$A,Customers!$A:$H,4,FALSE)</f>
        <v>64</v>
      </c>
      <c r="F524" t="str">
        <f>VLOOKUP('Sales table'!$A:$A,Customers!$A:$H,5,FALSE)</f>
        <v>Delhi</v>
      </c>
      <c r="G524" t="str">
        <f>VLOOKUP($B:$B,Products!$A:$D,2,FALSE)</f>
        <v>LED Lamp</v>
      </c>
      <c r="H524" t="str">
        <f>VLOOKUP($B:$B,Products!$A:$D,3,FALSE)</f>
        <v>Home Decor</v>
      </c>
      <c r="I524">
        <f>VLOOKUP($B:$B,Products!$A:$D,4,FALSE)</f>
        <v>3828</v>
      </c>
      <c r="J524" s="4">
        <f>VLOOKUP($A:$A,Sales!$B:$H,6,FALSE)</f>
        <v>45583</v>
      </c>
      <c r="K524" s="9">
        <f>VLOOKUP($A:$A,Sales!$B:$H,4,FALSE)</f>
        <v>3</v>
      </c>
      <c r="L524" s="5">
        <f t="shared" si="8"/>
        <v>11484</v>
      </c>
    </row>
    <row r="525" spans="1:12" x14ac:dyDescent="0.3">
      <c r="A525">
        <v>1208</v>
      </c>
      <c r="B525">
        <v>2005</v>
      </c>
      <c r="C525">
        <v>3031</v>
      </c>
      <c r="D525" t="str">
        <f>VLOOKUP('Sales table'!$A:$A,Customers!$A:$H,2,FALSE)</f>
        <v>Kelly Lee</v>
      </c>
      <c r="E525">
        <f>VLOOKUP('Sales table'!$A:$A,Customers!$A:$H,4,FALSE)</f>
        <v>47</v>
      </c>
      <c r="F525" t="str">
        <f>VLOOKUP('Sales table'!$A:$A,Customers!$A:$H,5,FALSE)</f>
        <v>Delhi</v>
      </c>
      <c r="G525" t="str">
        <f>VLOOKUP($B:$B,Products!$A:$D,2,FALSE)</f>
        <v>LED Lamp</v>
      </c>
      <c r="H525" t="str">
        <f>VLOOKUP($B:$B,Products!$A:$D,3,FALSE)</f>
        <v>Home Decor</v>
      </c>
      <c r="I525">
        <f>VLOOKUP($B:$B,Products!$A:$D,4,FALSE)</f>
        <v>3828</v>
      </c>
      <c r="J525" s="4">
        <f>VLOOKUP($A:$A,Sales!$B:$H,6,FALSE)</f>
        <v>45597</v>
      </c>
      <c r="K525" s="9">
        <f>VLOOKUP($A:$A,Sales!$B:$H,4,FALSE)</f>
        <v>3</v>
      </c>
      <c r="L525" s="5">
        <f t="shared" si="8"/>
        <v>11484</v>
      </c>
    </row>
    <row r="526" spans="1:12" x14ac:dyDescent="0.3">
      <c r="A526">
        <v>1023</v>
      </c>
      <c r="B526">
        <v>2008</v>
      </c>
      <c r="C526">
        <v>3032</v>
      </c>
      <c r="D526" t="str">
        <f>VLOOKUP('Sales table'!$A:$A,Customers!$A:$H,2,FALSE)</f>
        <v>Daniel Williams</v>
      </c>
      <c r="E526">
        <f>VLOOKUP('Sales table'!$A:$A,Customers!$A:$H,4,FALSE)</f>
        <v>45</v>
      </c>
      <c r="F526" t="str">
        <f>VLOOKUP('Sales table'!$A:$A,Customers!$A:$H,5,FALSE)</f>
        <v>Pune</v>
      </c>
      <c r="G526" t="str">
        <f>VLOOKUP($B:$B,Products!$A:$D,2,FALSE)</f>
        <v>Earthen Diyas</v>
      </c>
      <c r="H526" t="str">
        <f>VLOOKUP($B:$B,Products!$A:$D,3,FALSE)</f>
        <v>Home Decor</v>
      </c>
      <c r="I526">
        <f>VLOOKUP($B:$B,Products!$A:$D,4,FALSE)</f>
        <v>2136</v>
      </c>
      <c r="J526" s="4">
        <f>VLOOKUP($A:$A,Sales!$B:$H,6,FALSE)</f>
        <v>45581</v>
      </c>
      <c r="K526" s="9">
        <f>VLOOKUP($A:$A,Sales!$B:$H,4,FALSE)</f>
        <v>3</v>
      </c>
      <c r="L526" s="5">
        <f t="shared" si="8"/>
        <v>6408</v>
      </c>
    </row>
    <row r="527" spans="1:12" x14ac:dyDescent="0.3">
      <c r="A527">
        <v>1083</v>
      </c>
      <c r="B527">
        <v>2003</v>
      </c>
      <c r="C527">
        <v>3024</v>
      </c>
      <c r="D527" t="str">
        <f>VLOOKUP('Sales table'!$A:$A,Customers!$A:$H,2,FALSE)</f>
        <v>James Barrera</v>
      </c>
      <c r="E527">
        <f>VLOOKUP('Sales table'!$A:$A,Customers!$A:$H,4,FALSE)</f>
        <v>31</v>
      </c>
      <c r="F527" t="str">
        <f>VLOOKUP('Sales table'!$A:$A,Customers!$A:$H,5,FALSE)</f>
        <v>Pune</v>
      </c>
      <c r="G527" t="str">
        <f>VLOOKUP($B:$B,Products!$A:$D,2,FALSE)</f>
        <v>Kurta</v>
      </c>
      <c r="H527" t="str">
        <f>VLOOKUP($B:$B,Products!$A:$D,3,FALSE)</f>
        <v>Clothing</v>
      </c>
      <c r="I527">
        <f>VLOOKUP($B:$B,Products!$A:$D,4,FALSE)</f>
        <v>13241</v>
      </c>
      <c r="J527" s="4">
        <f>VLOOKUP($A:$A,Sales!$B:$H,6,FALSE)</f>
        <v>45593</v>
      </c>
      <c r="K527" s="9">
        <f>VLOOKUP($A:$A,Sales!$B:$H,4,FALSE)</f>
        <v>4</v>
      </c>
      <c r="L527" s="5">
        <f t="shared" si="8"/>
        <v>52964</v>
      </c>
    </row>
    <row r="528" spans="1:12" x14ac:dyDescent="0.3">
      <c r="A528">
        <v>1210</v>
      </c>
      <c r="B528">
        <v>2022</v>
      </c>
      <c r="C528">
        <v>3009</v>
      </c>
      <c r="D528" t="str">
        <f>VLOOKUP('Sales table'!$A:$A,Customers!$A:$H,2,FALSE)</f>
        <v>Laura Wong</v>
      </c>
      <c r="E528">
        <f>VLOOKUP('Sales table'!$A:$A,Customers!$A:$H,4,FALSE)</f>
        <v>55</v>
      </c>
      <c r="F528" t="str">
        <f>VLOOKUP('Sales table'!$A:$A,Customers!$A:$H,5,FALSE)</f>
        <v>Delhi</v>
      </c>
      <c r="G528" t="str">
        <f>VLOOKUP($B:$B,Products!$A:$D,2,FALSE)</f>
        <v>Home Decor Statue</v>
      </c>
      <c r="H528" t="str">
        <f>VLOOKUP($B:$B,Products!$A:$D,3,FALSE)</f>
        <v>Home Decor</v>
      </c>
      <c r="I528">
        <f>VLOOKUP($B:$B,Products!$A:$D,4,FALSE)</f>
        <v>17149</v>
      </c>
      <c r="J528" s="4">
        <f>VLOOKUP($A:$A,Sales!$B:$H,6,FALSE)</f>
        <v>45600</v>
      </c>
      <c r="K528" s="9">
        <f>VLOOKUP($A:$A,Sales!$B:$H,4,FALSE)</f>
        <v>2</v>
      </c>
      <c r="L528" s="5">
        <f t="shared" si="8"/>
        <v>34298</v>
      </c>
    </row>
    <row r="529" spans="1:12" x14ac:dyDescent="0.3">
      <c r="A529">
        <v>1091</v>
      </c>
      <c r="B529">
        <v>2009</v>
      </c>
      <c r="C529">
        <v>3016</v>
      </c>
      <c r="D529" t="str">
        <f>VLOOKUP('Sales table'!$A:$A,Customers!$A:$H,2,FALSE)</f>
        <v>Brandy Martinez</v>
      </c>
      <c r="E529">
        <f>VLOOKUP('Sales table'!$A:$A,Customers!$A:$H,4,FALSE)</f>
        <v>28</v>
      </c>
      <c r="F529" t="str">
        <f>VLOOKUP('Sales table'!$A:$A,Customers!$A:$H,5,FALSE)</f>
        <v>Kolkata</v>
      </c>
      <c r="G529" t="str">
        <f>VLOOKUP($B:$B,Products!$A:$D,2,FALSE)</f>
        <v>Bluetooth Speaker</v>
      </c>
      <c r="H529" t="str">
        <f>VLOOKUP($B:$B,Products!$A:$D,3,FALSE)</f>
        <v>Electronics</v>
      </c>
      <c r="I529">
        <f>VLOOKUP($B:$B,Products!$A:$D,4,FALSE)</f>
        <v>11047</v>
      </c>
      <c r="J529" s="4">
        <f>VLOOKUP($A:$A,Sales!$B:$H,6,FALSE)</f>
        <v>45592</v>
      </c>
      <c r="K529" s="9">
        <f>VLOOKUP($A:$A,Sales!$B:$H,4,FALSE)</f>
        <v>5</v>
      </c>
      <c r="L529" s="5">
        <f t="shared" si="8"/>
        <v>55235</v>
      </c>
    </row>
    <row r="530" spans="1:12" x14ac:dyDescent="0.3">
      <c r="A530">
        <v>1153</v>
      </c>
      <c r="B530">
        <v>2015</v>
      </c>
      <c r="C530">
        <v>3023</v>
      </c>
      <c r="D530" t="str">
        <f>VLOOKUP('Sales table'!$A:$A,Customers!$A:$H,2,FALSE)</f>
        <v>Stephanie Miller</v>
      </c>
      <c r="E530">
        <f>VLOOKUP('Sales table'!$A:$A,Customers!$A:$H,4,FALSE)</f>
        <v>38</v>
      </c>
      <c r="F530" t="str">
        <f>VLOOKUP('Sales table'!$A:$A,Customers!$A:$H,5,FALSE)</f>
        <v>Pune</v>
      </c>
      <c r="G530" t="str">
        <f>VLOOKUP($B:$B,Products!$A:$D,2,FALSE)</f>
        <v>Candle Set</v>
      </c>
      <c r="H530" t="str">
        <f>VLOOKUP($B:$B,Products!$A:$D,3,FALSE)</f>
        <v>Home Decor</v>
      </c>
      <c r="I530">
        <f>VLOOKUP($B:$B,Products!$A:$D,4,FALSE)</f>
        <v>17604</v>
      </c>
      <c r="J530" s="4">
        <f>VLOOKUP($A:$A,Sales!$B:$H,6,FALSE)</f>
        <v>45597</v>
      </c>
      <c r="K530" s="9">
        <f>VLOOKUP($A:$A,Sales!$B:$H,4,FALSE)</f>
        <v>2</v>
      </c>
      <c r="L530" s="5">
        <f t="shared" si="8"/>
        <v>35208</v>
      </c>
    </row>
    <row r="531" spans="1:12" x14ac:dyDescent="0.3">
      <c r="A531">
        <v>1263</v>
      </c>
      <c r="B531">
        <v>2012</v>
      </c>
      <c r="C531">
        <v>3029</v>
      </c>
      <c r="D531" t="str">
        <f>VLOOKUP('Sales table'!$A:$A,Customers!$A:$H,2,FALSE)</f>
        <v>Jordan Smith</v>
      </c>
      <c r="E531">
        <f>VLOOKUP('Sales table'!$A:$A,Customers!$A:$H,4,FALSE)</f>
        <v>38</v>
      </c>
      <c r="F531" t="str">
        <f>VLOOKUP('Sales table'!$A:$A,Customers!$A:$H,5,FALSE)</f>
        <v>Kolkata</v>
      </c>
      <c r="G531" t="str">
        <f>VLOOKUP($B:$B,Products!$A:$D,2,FALSE)</f>
        <v>Wall Hanging</v>
      </c>
      <c r="H531" t="str">
        <f>VLOOKUP($B:$B,Products!$A:$D,3,FALSE)</f>
        <v>Home Decor</v>
      </c>
      <c r="I531">
        <f>VLOOKUP($B:$B,Products!$A:$D,4,FALSE)</f>
        <v>11867</v>
      </c>
      <c r="J531" s="4">
        <f>VLOOKUP($A:$A,Sales!$B:$H,6,FALSE)</f>
        <v>45581</v>
      </c>
      <c r="K531" s="9">
        <f>VLOOKUP($A:$A,Sales!$B:$H,4,FALSE)</f>
        <v>1</v>
      </c>
      <c r="L531" s="5">
        <f t="shared" si="8"/>
        <v>11867</v>
      </c>
    </row>
    <row r="532" spans="1:12" x14ac:dyDescent="0.3">
      <c r="A532">
        <v>1251</v>
      </c>
      <c r="B532">
        <v>2010</v>
      </c>
      <c r="C532">
        <v>3001</v>
      </c>
      <c r="D532" t="str">
        <f>VLOOKUP('Sales table'!$A:$A,Customers!$A:$H,2,FALSE)</f>
        <v>Zachary Browning</v>
      </c>
      <c r="E532">
        <f>VLOOKUP('Sales table'!$A:$A,Customers!$A:$H,4,FALSE)</f>
        <v>20</v>
      </c>
      <c r="F532" t="str">
        <f>VLOOKUP('Sales table'!$A:$A,Customers!$A:$H,5,FALSE)</f>
        <v>Hyderabad</v>
      </c>
      <c r="G532" t="str">
        <f>VLOOKUP($B:$B,Products!$A:$D,2,FALSE)</f>
        <v>Chocolate Box</v>
      </c>
      <c r="H532" t="str">
        <f>VLOOKUP($B:$B,Products!$A:$D,3,FALSE)</f>
        <v>Sweets &amp; Gifts</v>
      </c>
      <c r="I532">
        <f>VLOOKUP($B:$B,Products!$A:$D,4,FALSE)</f>
        <v>17909</v>
      </c>
      <c r="J532" s="4">
        <f>VLOOKUP($A:$A,Sales!$B:$H,6,FALSE)</f>
        <v>45612</v>
      </c>
      <c r="K532" s="9">
        <f>VLOOKUP($A:$A,Sales!$B:$H,4,FALSE)</f>
        <v>1</v>
      </c>
      <c r="L532" s="5">
        <f t="shared" si="8"/>
        <v>17909</v>
      </c>
    </row>
    <row r="533" spans="1:12" x14ac:dyDescent="0.3">
      <c r="A533">
        <v>1036</v>
      </c>
      <c r="B533">
        <v>2022</v>
      </c>
      <c r="C533">
        <v>3027</v>
      </c>
      <c r="D533" t="str">
        <f>VLOOKUP('Sales table'!$A:$A,Customers!$A:$H,2,FALSE)</f>
        <v>Rebecca Harris</v>
      </c>
      <c r="E533">
        <f>VLOOKUP('Sales table'!$A:$A,Customers!$A:$H,4,FALSE)</f>
        <v>27</v>
      </c>
      <c r="F533" t="str">
        <f>VLOOKUP('Sales table'!$A:$A,Customers!$A:$H,5,FALSE)</f>
        <v>Kolkata</v>
      </c>
      <c r="G533" t="str">
        <f>VLOOKUP($B:$B,Products!$A:$D,2,FALSE)</f>
        <v>Home Decor Statue</v>
      </c>
      <c r="H533" t="str">
        <f>VLOOKUP($B:$B,Products!$A:$D,3,FALSE)</f>
        <v>Home Decor</v>
      </c>
      <c r="I533">
        <f>VLOOKUP($B:$B,Products!$A:$D,4,FALSE)</f>
        <v>17149</v>
      </c>
      <c r="J533" s="4">
        <f>VLOOKUP($A:$A,Sales!$B:$H,6,FALSE)</f>
        <v>45594</v>
      </c>
      <c r="K533" s="9">
        <f>VLOOKUP($A:$A,Sales!$B:$H,4,FALSE)</f>
        <v>2</v>
      </c>
      <c r="L533" s="5">
        <f t="shared" si="8"/>
        <v>34298</v>
      </c>
    </row>
    <row r="534" spans="1:12" x14ac:dyDescent="0.3">
      <c r="A534">
        <v>1124</v>
      </c>
      <c r="B534">
        <v>2003</v>
      </c>
      <c r="C534">
        <v>3010</v>
      </c>
      <c r="D534" t="str">
        <f>VLOOKUP('Sales table'!$A:$A,Customers!$A:$H,2,FALSE)</f>
        <v>Terrence Johnson</v>
      </c>
      <c r="E534">
        <f>VLOOKUP('Sales table'!$A:$A,Customers!$A:$H,4,FALSE)</f>
        <v>41</v>
      </c>
      <c r="F534" t="str">
        <f>VLOOKUP('Sales table'!$A:$A,Customers!$A:$H,5,FALSE)</f>
        <v>Kolkata</v>
      </c>
      <c r="G534" t="str">
        <f>VLOOKUP($B:$B,Products!$A:$D,2,FALSE)</f>
        <v>Kurta</v>
      </c>
      <c r="H534" t="str">
        <f>VLOOKUP($B:$B,Products!$A:$D,3,FALSE)</f>
        <v>Clothing</v>
      </c>
      <c r="I534">
        <f>VLOOKUP($B:$B,Products!$A:$D,4,FALSE)</f>
        <v>13241</v>
      </c>
      <c r="J534" s="4">
        <f>VLOOKUP($A:$A,Sales!$B:$H,6,FALSE)</f>
        <v>45579</v>
      </c>
      <c r="K534" s="9">
        <f>VLOOKUP($A:$A,Sales!$B:$H,4,FALSE)</f>
        <v>5</v>
      </c>
      <c r="L534" s="5">
        <f t="shared" si="8"/>
        <v>66205</v>
      </c>
    </row>
    <row r="535" spans="1:12" x14ac:dyDescent="0.3">
      <c r="A535">
        <v>1032</v>
      </c>
      <c r="B535">
        <v>2006</v>
      </c>
      <c r="C535">
        <v>3006</v>
      </c>
      <c r="D535" t="str">
        <f>VLOOKUP('Sales table'!$A:$A,Customers!$A:$H,2,FALSE)</f>
        <v>Robert Williams</v>
      </c>
      <c r="E535">
        <f>VLOOKUP('Sales table'!$A:$A,Customers!$A:$H,4,FALSE)</f>
        <v>63</v>
      </c>
      <c r="F535" t="str">
        <f>VLOOKUP('Sales table'!$A:$A,Customers!$A:$H,5,FALSE)</f>
        <v>Delhi</v>
      </c>
      <c r="G535" t="str">
        <f>VLOOKUP($B:$B,Products!$A:$D,2,FALSE)</f>
        <v>Crackers Pack</v>
      </c>
      <c r="H535" t="str">
        <f>VLOOKUP($B:$B,Products!$A:$D,3,FALSE)</f>
        <v>Crackers</v>
      </c>
      <c r="I535">
        <f>VLOOKUP($B:$B,Products!$A:$D,4,FALSE)</f>
        <v>12060</v>
      </c>
      <c r="J535" s="4">
        <f>VLOOKUP($A:$A,Sales!$B:$H,6,FALSE)</f>
        <v>45577</v>
      </c>
      <c r="K535" s="9">
        <f>VLOOKUP($A:$A,Sales!$B:$H,4,FALSE)</f>
        <v>1</v>
      </c>
      <c r="L535" s="5">
        <f t="shared" si="8"/>
        <v>12060</v>
      </c>
    </row>
    <row r="536" spans="1:12" x14ac:dyDescent="0.3">
      <c r="A536">
        <v>1129</v>
      </c>
      <c r="B536">
        <v>2023</v>
      </c>
      <c r="C536">
        <v>3020</v>
      </c>
      <c r="D536" t="str">
        <f>VLOOKUP('Sales table'!$A:$A,Customers!$A:$H,2,FALSE)</f>
        <v>Christopher Wagner</v>
      </c>
      <c r="E536">
        <f>VLOOKUP('Sales table'!$A:$A,Customers!$A:$H,4,FALSE)</f>
        <v>60</v>
      </c>
      <c r="F536" t="str">
        <f>VLOOKUP('Sales table'!$A:$A,Customers!$A:$H,5,FALSE)</f>
        <v>Hyderabad</v>
      </c>
      <c r="G536" t="str">
        <f>VLOOKUP($B:$B,Products!$A:$D,2,FALSE)</f>
        <v>Kids Wear</v>
      </c>
      <c r="H536" t="str">
        <f>VLOOKUP($B:$B,Products!$A:$D,3,FALSE)</f>
        <v>Clothing</v>
      </c>
      <c r="I536">
        <f>VLOOKUP($B:$B,Products!$A:$D,4,FALSE)</f>
        <v>4794</v>
      </c>
      <c r="J536" s="4">
        <f>VLOOKUP($A:$A,Sales!$B:$H,6,FALSE)</f>
        <v>45609</v>
      </c>
      <c r="K536" s="9">
        <f>VLOOKUP($A:$A,Sales!$B:$H,4,FALSE)</f>
        <v>1</v>
      </c>
      <c r="L536" s="5">
        <f t="shared" si="8"/>
        <v>4794</v>
      </c>
    </row>
    <row r="537" spans="1:12" x14ac:dyDescent="0.3">
      <c r="A537">
        <v>1200</v>
      </c>
      <c r="B537">
        <v>2018</v>
      </c>
      <c r="C537">
        <v>3007</v>
      </c>
      <c r="D537" t="str">
        <f>VLOOKUP('Sales table'!$A:$A,Customers!$A:$H,2,FALSE)</f>
        <v>Brian Campbell</v>
      </c>
      <c r="E537">
        <f>VLOOKUP('Sales table'!$A:$A,Customers!$A:$H,4,FALSE)</f>
        <v>28</v>
      </c>
      <c r="F537" t="str">
        <f>VLOOKUP('Sales table'!$A:$A,Customers!$A:$H,5,FALSE)</f>
        <v>Chennai</v>
      </c>
      <c r="G537" t="str">
        <f>VLOOKUP($B:$B,Products!$A:$D,2,FALSE)</f>
        <v>Dry Fruits Pack</v>
      </c>
      <c r="H537" t="str">
        <f>VLOOKUP($B:$B,Products!$A:$D,3,FALSE)</f>
        <v>Sweets &amp; Gifts</v>
      </c>
      <c r="I537">
        <f>VLOOKUP($B:$B,Products!$A:$D,4,FALSE)</f>
        <v>7243</v>
      </c>
      <c r="J537" s="4">
        <f>VLOOKUP($A:$A,Sales!$B:$H,6,FALSE)</f>
        <v>45581</v>
      </c>
      <c r="K537" s="9">
        <f>VLOOKUP($A:$A,Sales!$B:$H,4,FALSE)</f>
        <v>1</v>
      </c>
      <c r="L537" s="5">
        <f t="shared" si="8"/>
        <v>7243</v>
      </c>
    </row>
    <row r="538" spans="1:12" x14ac:dyDescent="0.3">
      <c r="A538">
        <v>1151</v>
      </c>
      <c r="B538">
        <v>2005</v>
      </c>
      <c r="C538">
        <v>3001</v>
      </c>
      <c r="D538" t="str">
        <f>VLOOKUP('Sales table'!$A:$A,Customers!$A:$H,2,FALSE)</f>
        <v>Cynthia Simpson</v>
      </c>
      <c r="E538">
        <f>VLOOKUP('Sales table'!$A:$A,Customers!$A:$H,4,FALSE)</f>
        <v>58</v>
      </c>
      <c r="F538" t="str">
        <f>VLOOKUP('Sales table'!$A:$A,Customers!$A:$H,5,FALSE)</f>
        <v>Delhi</v>
      </c>
      <c r="G538" t="str">
        <f>VLOOKUP($B:$B,Products!$A:$D,2,FALSE)</f>
        <v>LED Lamp</v>
      </c>
      <c r="H538" t="str">
        <f>VLOOKUP($B:$B,Products!$A:$D,3,FALSE)</f>
        <v>Home Decor</v>
      </c>
      <c r="I538">
        <f>VLOOKUP($B:$B,Products!$A:$D,4,FALSE)</f>
        <v>3828</v>
      </c>
      <c r="J538" s="4">
        <f>VLOOKUP($A:$A,Sales!$B:$H,6,FALSE)</f>
        <v>45581</v>
      </c>
      <c r="K538" s="9">
        <f>VLOOKUP($A:$A,Sales!$B:$H,4,FALSE)</f>
        <v>4</v>
      </c>
      <c r="L538" s="5">
        <f t="shared" si="8"/>
        <v>15312</v>
      </c>
    </row>
    <row r="539" spans="1:12" x14ac:dyDescent="0.3">
      <c r="A539">
        <v>1158</v>
      </c>
      <c r="B539">
        <v>2022</v>
      </c>
      <c r="C539">
        <v>3017</v>
      </c>
      <c r="D539" t="str">
        <f>VLOOKUP('Sales table'!$A:$A,Customers!$A:$H,2,FALSE)</f>
        <v>David Smith</v>
      </c>
      <c r="E539">
        <f>VLOOKUP('Sales table'!$A:$A,Customers!$A:$H,4,FALSE)</f>
        <v>59</v>
      </c>
      <c r="F539" t="str">
        <f>VLOOKUP('Sales table'!$A:$A,Customers!$A:$H,5,FALSE)</f>
        <v>Mumbai</v>
      </c>
      <c r="G539" t="str">
        <f>VLOOKUP($B:$B,Products!$A:$D,2,FALSE)</f>
        <v>Home Decor Statue</v>
      </c>
      <c r="H539" t="str">
        <f>VLOOKUP($B:$B,Products!$A:$D,3,FALSE)</f>
        <v>Home Decor</v>
      </c>
      <c r="I539">
        <f>VLOOKUP($B:$B,Products!$A:$D,4,FALSE)</f>
        <v>17149</v>
      </c>
      <c r="J539" s="4">
        <f>VLOOKUP($A:$A,Sales!$B:$H,6,FALSE)</f>
        <v>45580</v>
      </c>
      <c r="K539" s="9">
        <f>VLOOKUP($A:$A,Sales!$B:$H,4,FALSE)</f>
        <v>1</v>
      </c>
      <c r="L539" s="5">
        <f t="shared" si="8"/>
        <v>17149</v>
      </c>
    </row>
    <row r="540" spans="1:12" x14ac:dyDescent="0.3">
      <c r="A540">
        <v>1173</v>
      </c>
      <c r="B540">
        <v>2017</v>
      </c>
      <c r="C540">
        <v>3009</v>
      </c>
      <c r="D540" t="str">
        <f>VLOOKUP('Sales table'!$A:$A,Customers!$A:$H,2,FALSE)</f>
        <v>Emily Martin</v>
      </c>
      <c r="E540">
        <f>VLOOKUP('Sales table'!$A:$A,Customers!$A:$H,4,FALSE)</f>
        <v>51</v>
      </c>
      <c r="F540" t="str">
        <f>VLOOKUP('Sales table'!$A:$A,Customers!$A:$H,5,FALSE)</f>
        <v>Chennai</v>
      </c>
      <c r="G540" t="str">
        <f>VLOOKUP($B:$B,Products!$A:$D,2,FALSE)</f>
        <v>Handmade Pottery</v>
      </c>
      <c r="H540" t="str">
        <f>VLOOKUP($B:$B,Products!$A:$D,3,FALSE)</f>
        <v>Home Decor</v>
      </c>
      <c r="I540">
        <f>VLOOKUP($B:$B,Products!$A:$D,4,FALSE)</f>
        <v>8186</v>
      </c>
      <c r="J540" s="4">
        <f>VLOOKUP($A:$A,Sales!$B:$H,6,FALSE)</f>
        <v>45604</v>
      </c>
      <c r="K540" s="9">
        <f>VLOOKUP($A:$A,Sales!$B:$H,4,FALSE)</f>
        <v>4</v>
      </c>
      <c r="L540" s="5">
        <f t="shared" si="8"/>
        <v>32744</v>
      </c>
    </row>
    <row r="541" spans="1:12" x14ac:dyDescent="0.3">
      <c r="A541">
        <v>1248</v>
      </c>
      <c r="B541">
        <v>2010</v>
      </c>
      <c r="C541">
        <v>3002</v>
      </c>
      <c r="D541" t="str">
        <f>VLOOKUP('Sales table'!$A:$A,Customers!$A:$H,2,FALSE)</f>
        <v>Karen Anderson</v>
      </c>
      <c r="E541">
        <f>VLOOKUP('Sales table'!$A:$A,Customers!$A:$H,4,FALSE)</f>
        <v>18</v>
      </c>
      <c r="F541" t="str">
        <f>VLOOKUP('Sales table'!$A:$A,Customers!$A:$H,5,FALSE)</f>
        <v>Mumbai</v>
      </c>
      <c r="G541" t="str">
        <f>VLOOKUP($B:$B,Products!$A:$D,2,FALSE)</f>
        <v>Chocolate Box</v>
      </c>
      <c r="H541" t="str">
        <f>VLOOKUP($B:$B,Products!$A:$D,3,FALSE)</f>
        <v>Sweets &amp; Gifts</v>
      </c>
      <c r="I541">
        <f>VLOOKUP($B:$B,Products!$A:$D,4,FALSE)</f>
        <v>17909</v>
      </c>
      <c r="J541" s="4">
        <f>VLOOKUP($A:$A,Sales!$B:$H,6,FALSE)</f>
        <v>45601</v>
      </c>
      <c r="K541" s="9">
        <f>VLOOKUP($A:$A,Sales!$B:$H,4,FALSE)</f>
        <v>5</v>
      </c>
      <c r="L541" s="5">
        <f t="shared" si="8"/>
        <v>89545</v>
      </c>
    </row>
    <row r="542" spans="1:12" x14ac:dyDescent="0.3">
      <c r="A542">
        <v>1149</v>
      </c>
      <c r="B542">
        <v>2003</v>
      </c>
      <c r="C542">
        <v>3030</v>
      </c>
      <c r="D542" t="str">
        <f>VLOOKUP('Sales table'!$A:$A,Customers!$A:$H,2,FALSE)</f>
        <v>Christopher Higgins</v>
      </c>
      <c r="E542">
        <f>VLOOKUP('Sales table'!$A:$A,Customers!$A:$H,4,FALSE)</f>
        <v>45</v>
      </c>
      <c r="F542" t="str">
        <f>VLOOKUP('Sales table'!$A:$A,Customers!$A:$H,5,FALSE)</f>
        <v>Delhi</v>
      </c>
      <c r="G542" t="str">
        <f>VLOOKUP($B:$B,Products!$A:$D,2,FALSE)</f>
        <v>Kurta</v>
      </c>
      <c r="H542" t="str">
        <f>VLOOKUP($B:$B,Products!$A:$D,3,FALSE)</f>
        <v>Clothing</v>
      </c>
      <c r="I542">
        <f>VLOOKUP($B:$B,Products!$A:$D,4,FALSE)</f>
        <v>13241</v>
      </c>
      <c r="J542" s="4">
        <f>VLOOKUP($A:$A,Sales!$B:$H,6,FALSE)</f>
        <v>45603</v>
      </c>
      <c r="K542" s="9">
        <f>VLOOKUP($A:$A,Sales!$B:$H,4,FALSE)</f>
        <v>4</v>
      </c>
      <c r="L542" s="5">
        <f t="shared" si="8"/>
        <v>52964</v>
      </c>
    </row>
    <row r="543" spans="1:12" x14ac:dyDescent="0.3">
      <c r="A543">
        <v>1088</v>
      </c>
      <c r="B543">
        <v>2021</v>
      </c>
      <c r="C543">
        <v>3029</v>
      </c>
      <c r="D543" t="str">
        <f>VLOOKUP('Sales table'!$A:$A,Customers!$A:$H,2,FALSE)</f>
        <v>Mark Mitchell</v>
      </c>
      <c r="E543">
        <f>VLOOKUP('Sales table'!$A:$A,Customers!$A:$H,4,FALSE)</f>
        <v>58</v>
      </c>
      <c r="F543" t="str">
        <f>VLOOKUP('Sales table'!$A:$A,Customers!$A:$H,5,FALSE)</f>
        <v>Delhi</v>
      </c>
      <c r="G543" t="str">
        <f>VLOOKUP($B:$B,Products!$A:$D,2,FALSE)</f>
        <v>Smartwatch</v>
      </c>
      <c r="H543" t="str">
        <f>VLOOKUP($B:$B,Products!$A:$D,3,FALSE)</f>
        <v>Electronics</v>
      </c>
      <c r="I543">
        <f>VLOOKUP($B:$B,Products!$A:$D,4,FALSE)</f>
        <v>17586</v>
      </c>
      <c r="J543" s="4">
        <f>VLOOKUP($A:$A,Sales!$B:$H,6,FALSE)</f>
        <v>45575</v>
      </c>
      <c r="K543" s="9">
        <f>VLOOKUP($A:$A,Sales!$B:$H,4,FALSE)</f>
        <v>3</v>
      </c>
      <c r="L543" s="5">
        <f t="shared" si="8"/>
        <v>52758</v>
      </c>
    </row>
    <row r="544" spans="1:12" x14ac:dyDescent="0.3">
      <c r="A544">
        <v>1140</v>
      </c>
      <c r="B544">
        <v>2012</v>
      </c>
      <c r="C544">
        <v>3025</v>
      </c>
      <c r="D544" t="str">
        <f>VLOOKUP('Sales table'!$A:$A,Customers!$A:$H,2,FALSE)</f>
        <v>Alex Brown</v>
      </c>
      <c r="E544">
        <f>VLOOKUP('Sales table'!$A:$A,Customers!$A:$H,4,FALSE)</f>
        <v>27</v>
      </c>
      <c r="F544" t="str">
        <f>VLOOKUP('Sales table'!$A:$A,Customers!$A:$H,5,FALSE)</f>
        <v>Mumbai</v>
      </c>
      <c r="G544" t="str">
        <f>VLOOKUP($B:$B,Products!$A:$D,2,FALSE)</f>
        <v>Wall Hanging</v>
      </c>
      <c r="H544" t="str">
        <f>VLOOKUP($B:$B,Products!$A:$D,3,FALSE)</f>
        <v>Home Decor</v>
      </c>
      <c r="I544">
        <f>VLOOKUP($B:$B,Products!$A:$D,4,FALSE)</f>
        <v>11867</v>
      </c>
      <c r="J544" s="4">
        <f>VLOOKUP($A:$A,Sales!$B:$H,6,FALSE)</f>
        <v>45601</v>
      </c>
      <c r="K544" s="9">
        <f>VLOOKUP($A:$A,Sales!$B:$H,4,FALSE)</f>
        <v>2</v>
      </c>
      <c r="L544" s="5">
        <f t="shared" si="8"/>
        <v>23734</v>
      </c>
    </row>
    <row r="545" spans="1:12" x14ac:dyDescent="0.3">
      <c r="A545">
        <v>1297</v>
      </c>
      <c r="B545">
        <v>2023</v>
      </c>
      <c r="C545">
        <v>3021</v>
      </c>
      <c r="D545" t="str">
        <f>VLOOKUP('Sales table'!$A:$A,Customers!$A:$H,2,FALSE)</f>
        <v>Samantha Mendoza</v>
      </c>
      <c r="E545">
        <f>VLOOKUP('Sales table'!$A:$A,Customers!$A:$H,4,FALSE)</f>
        <v>19</v>
      </c>
      <c r="F545" t="str">
        <f>VLOOKUP('Sales table'!$A:$A,Customers!$A:$H,5,FALSE)</f>
        <v>Pune</v>
      </c>
      <c r="G545" t="str">
        <f>VLOOKUP($B:$B,Products!$A:$D,2,FALSE)</f>
        <v>Kids Wear</v>
      </c>
      <c r="H545" t="str">
        <f>VLOOKUP($B:$B,Products!$A:$D,3,FALSE)</f>
        <v>Clothing</v>
      </c>
      <c r="I545">
        <f>VLOOKUP($B:$B,Products!$A:$D,4,FALSE)</f>
        <v>4794</v>
      </c>
      <c r="J545" s="4">
        <f>VLOOKUP($A:$A,Sales!$B:$H,6,FALSE)</f>
        <v>45601</v>
      </c>
      <c r="K545" s="9">
        <f>VLOOKUP($A:$A,Sales!$B:$H,4,FALSE)</f>
        <v>3</v>
      </c>
      <c r="L545" s="5">
        <f t="shared" si="8"/>
        <v>14382</v>
      </c>
    </row>
    <row r="546" spans="1:12" x14ac:dyDescent="0.3">
      <c r="A546">
        <v>1176</v>
      </c>
      <c r="B546">
        <v>2007</v>
      </c>
      <c r="C546">
        <v>3027</v>
      </c>
      <c r="D546" t="str">
        <f>VLOOKUP('Sales table'!$A:$A,Customers!$A:$H,2,FALSE)</f>
        <v>Brent Smith</v>
      </c>
      <c r="E546">
        <f>VLOOKUP('Sales table'!$A:$A,Customers!$A:$H,4,FALSE)</f>
        <v>37</v>
      </c>
      <c r="F546" t="str">
        <f>VLOOKUP('Sales table'!$A:$A,Customers!$A:$H,5,FALSE)</f>
        <v>Bangalore</v>
      </c>
      <c r="G546" t="str">
        <f>VLOOKUP($B:$B,Products!$A:$D,2,FALSE)</f>
        <v>Gift Hamper</v>
      </c>
      <c r="H546" t="str">
        <f>VLOOKUP($B:$B,Products!$A:$D,3,FALSE)</f>
        <v>Sweets &amp; Gifts</v>
      </c>
      <c r="I546">
        <f>VLOOKUP($B:$B,Products!$A:$D,4,FALSE)</f>
        <v>3412</v>
      </c>
      <c r="J546" s="4">
        <f>VLOOKUP($A:$A,Sales!$B:$H,6,FALSE)</f>
        <v>45585</v>
      </c>
      <c r="K546" s="9">
        <f>VLOOKUP($A:$A,Sales!$B:$H,4,FALSE)</f>
        <v>3</v>
      </c>
      <c r="L546" s="5">
        <f t="shared" si="8"/>
        <v>10236</v>
      </c>
    </row>
    <row r="547" spans="1:12" x14ac:dyDescent="0.3">
      <c r="A547">
        <v>1113</v>
      </c>
      <c r="B547">
        <v>2022</v>
      </c>
      <c r="C547">
        <v>3001</v>
      </c>
      <c r="D547" t="str">
        <f>VLOOKUP('Sales table'!$A:$A,Customers!$A:$H,2,FALSE)</f>
        <v>Tyler Lozano</v>
      </c>
      <c r="E547">
        <f>VLOOKUP('Sales table'!$A:$A,Customers!$A:$H,4,FALSE)</f>
        <v>62</v>
      </c>
      <c r="F547" t="str">
        <f>VLOOKUP('Sales table'!$A:$A,Customers!$A:$H,5,FALSE)</f>
        <v>Chennai</v>
      </c>
      <c r="G547" t="str">
        <f>VLOOKUP($B:$B,Products!$A:$D,2,FALSE)</f>
        <v>Home Decor Statue</v>
      </c>
      <c r="H547" t="str">
        <f>VLOOKUP($B:$B,Products!$A:$D,3,FALSE)</f>
        <v>Home Decor</v>
      </c>
      <c r="I547">
        <f>VLOOKUP($B:$B,Products!$A:$D,4,FALSE)</f>
        <v>17149</v>
      </c>
      <c r="J547" s="4">
        <f>VLOOKUP($A:$A,Sales!$B:$H,6,FALSE)</f>
        <v>45608</v>
      </c>
      <c r="K547" s="9">
        <f>VLOOKUP($A:$A,Sales!$B:$H,4,FALSE)</f>
        <v>1</v>
      </c>
      <c r="L547" s="5">
        <f t="shared" si="8"/>
        <v>17149</v>
      </c>
    </row>
    <row r="548" spans="1:12" x14ac:dyDescent="0.3">
      <c r="A548">
        <v>1238</v>
      </c>
      <c r="B548">
        <v>2012</v>
      </c>
      <c r="C548">
        <v>3014</v>
      </c>
      <c r="D548" t="str">
        <f>VLOOKUP('Sales table'!$A:$A,Customers!$A:$H,2,FALSE)</f>
        <v>Steven Hogan</v>
      </c>
      <c r="E548">
        <f>VLOOKUP('Sales table'!$A:$A,Customers!$A:$H,4,FALSE)</f>
        <v>46</v>
      </c>
      <c r="F548" t="str">
        <f>VLOOKUP('Sales table'!$A:$A,Customers!$A:$H,5,FALSE)</f>
        <v>Chennai</v>
      </c>
      <c r="G548" t="str">
        <f>VLOOKUP($B:$B,Products!$A:$D,2,FALSE)</f>
        <v>Wall Hanging</v>
      </c>
      <c r="H548" t="str">
        <f>VLOOKUP($B:$B,Products!$A:$D,3,FALSE)</f>
        <v>Home Decor</v>
      </c>
      <c r="I548">
        <f>VLOOKUP($B:$B,Products!$A:$D,4,FALSE)</f>
        <v>11867</v>
      </c>
      <c r="J548" s="4">
        <f>VLOOKUP($A:$A,Sales!$B:$H,6,FALSE)</f>
        <v>45602</v>
      </c>
      <c r="K548" s="9">
        <f>VLOOKUP($A:$A,Sales!$B:$H,4,FALSE)</f>
        <v>3</v>
      </c>
      <c r="L548" s="5">
        <f t="shared" si="8"/>
        <v>35601</v>
      </c>
    </row>
    <row r="549" spans="1:12" x14ac:dyDescent="0.3">
      <c r="A549">
        <v>1282</v>
      </c>
      <c r="B549">
        <v>2019</v>
      </c>
      <c r="C549">
        <v>3021</v>
      </c>
      <c r="D549" t="str">
        <f>VLOOKUP('Sales table'!$A:$A,Customers!$A:$H,2,FALSE)</f>
        <v>Brett Sanchez</v>
      </c>
      <c r="E549">
        <f>VLOOKUP('Sales table'!$A:$A,Customers!$A:$H,4,FALSE)</f>
        <v>50</v>
      </c>
      <c r="F549" t="str">
        <f>VLOOKUP('Sales table'!$A:$A,Customers!$A:$H,5,FALSE)</f>
        <v>Kolkata</v>
      </c>
      <c r="G549" t="str">
        <f>VLOOKUP($B:$B,Products!$A:$D,2,FALSE)</f>
        <v>Designer Kurti</v>
      </c>
      <c r="H549" t="str">
        <f>VLOOKUP($B:$B,Products!$A:$D,3,FALSE)</f>
        <v>Clothing</v>
      </c>
      <c r="I549">
        <f>VLOOKUP($B:$B,Products!$A:$D,4,FALSE)</f>
        <v>13620</v>
      </c>
      <c r="J549" s="4">
        <f>VLOOKUP($A:$A,Sales!$B:$H,6,FALSE)</f>
        <v>45585</v>
      </c>
      <c r="K549" s="9">
        <f>VLOOKUP($A:$A,Sales!$B:$H,4,FALSE)</f>
        <v>2</v>
      </c>
      <c r="L549" s="5">
        <f t="shared" si="8"/>
        <v>27240</v>
      </c>
    </row>
    <row r="550" spans="1:12" x14ac:dyDescent="0.3">
      <c r="A550">
        <v>1088</v>
      </c>
      <c r="B550">
        <v>2017</v>
      </c>
      <c r="C550">
        <v>3009</v>
      </c>
      <c r="D550" t="str">
        <f>VLOOKUP('Sales table'!$A:$A,Customers!$A:$H,2,FALSE)</f>
        <v>Mark Mitchell</v>
      </c>
      <c r="E550">
        <f>VLOOKUP('Sales table'!$A:$A,Customers!$A:$H,4,FALSE)</f>
        <v>58</v>
      </c>
      <c r="F550" t="str">
        <f>VLOOKUP('Sales table'!$A:$A,Customers!$A:$H,5,FALSE)</f>
        <v>Delhi</v>
      </c>
      <c r="G550" t="str">
        <f>VLOOKUP($B:$B,Products!$A:$D,2,FALSE)</f>
        <v>Handmade Pottery</v>
      </c>
      <c r="H550" t="str">
        <f>VLOOKUP($B:$B,Products!$A:$D,3,FALSE)</f>
        <v>Home Decor</v>
      </c>
      <c r="I550">
        <f>VLOOKUP($B:$B,Products!$A:$D,4,FALSE)</f>
        <v>8186</v>
      </c>
      <c r="J550" s="4">
        <f>VLOOKUP($A:$A,Sales!$B:$H,6,FALSE)</f>
        <v>45575</v>
      </c>
      <c r="K550" s="9">
        <f>VLOOKUP($A:$A,Sales!$B:$H,4,FALSE)</f>
        <v>3</v>
      </c>
      <c r="L550" s="5">
        <f t="shared" si="8"/>
        <v>24558</v>
      </c>
    </row>
    <row r="551" spans="1:12" x14ac:dyDescent="0.3">
      <c r="A551">
        <v>1121</v>
      </c>
      <c r="B551">
        <v>2005</v>
      </c>
      <c r="C551">
        <v>3012</v>
      </c>
      <c r="D551" t="str">
        <f>VLOOKUP('Sales table'!$A:$A,Customers!$A:$H,2,FALSE)</f>
        <v>Vincent Fuller</v>
      </c>
      <c r="E551">
        <f>VLOOKUP('Sales table'!$A:$A,Customers!$A:$H,4,FALSE)</f>
        <v>25</v>
      </c>
      <c r="F551" t="str">
        <f>VLOOKUP('Sales table'!$A:$A,Customers!$A:$H,5,FALSE)</f>
        <v>Delhi</v>
      </c>
      <c r="G551" t="str">
        <f>VLOOKUP($B:$B,Products!$A:$D,2,FALSE)</f>
        <v>LED Lamp</v>
      </c>
      <c r="H551" t="str">
        <f>VLOOKUP($B:$B,Products!$A:$D,3,FALSE)</f>
        <v>Home Decor</v>
      </c>
      <c r="I551">
        <f>VLOOKUP($B:$B,Products!$A:$D,4,FALSE)</f>
        <v>3828</v>
      </c>
      <c r="J551" s="4">
        <f>VLOOKUP($A:$A,Sales!$B:$H,6,FALSE)</f>
        <v>45577</v>
      </c>
      <c r="K551" s="9">
        <f>VLOOKUP($A:$A,Sales!$B:$H,4,FALSE)</f>
        <v>2</v>
      </c>
      <c r="L551" s="5">
        <f t="shared" si="8"/>
        <v>7656</v>
      </c>
    </row>
    <row r="552" spans="1:12" x14ac:dyDescent="0.3">
      <c r="A552">
        <v>1094</v>
      </c>
      <c r="B552">
        <v>2019</v>
      </c>
      <c r="C552">
        <v>3008</v>
      </c>
      <c r="D552" t="str">
        <f>VLOOKUP('Sales table'!$A:$A,Customers!$A:$H,2,FALSE)</f>
        <v>Amanda Craig</v>
      </c>
      <c r="E552">
        <f>VLOOKUP('Sales table'!$A:$A,Customers!$A:$H,4,FALSE)</f>
        <v>57</v>
      </c>
      <c r="F552" t="str">
        <f>VLOOKUP('Sales table'!$A:$A,Customers!$A:$H,5,FALSE)</f>
        <v>Delhi</v>
      </c>
      <c r="G552" t="str">
        <f>VLOOKUP($B:$B,Products!$A:$D,2,FALSE)</f>
        <v>Designer Kurti</v>
      </c>
      <c r="H552" t="str">
        <f>VLOOKUP($B:$B,Products!$A:$D,3,FALSE)</f>
        <v>Clothing</v>
      </c>
      <c r="I552">
        <f>VLOOKUP($B:$B,Products!$A:$D,4,FALSE)</f>
        <v>13620</v>
      </c>
      <c r="J552" s="4">
        <f>VLOOKUP($A:$A,Sales!$B:$H,6,FALSE)</f>
        <v>45594</v>
      </c>
      <c r="K552" s="9">
        <f>VLOOKUP($A:$A,Sales!$B:$H,4,FALSE)</f>
        <v>1</v>
      </c>
      <c r="L552" s="5">
        <f t="shared" si="8"/>
        <v>13620</v>
      </c>
    </row>
    <row r="553" spans="1:12" x14ac:dyDescent="0.3">
      <c r="A553">
        <v>1013</v>
      </c>
      <c r="B553">
        <v>2023</v>
      </c>
      <c r="C553">
        <v>3029</v>
      </c>
      <c r="D553" t="str">
        <f>VLOOKUP('Sales table'!$A:$A,Customers!$A:$H,2,FALSE)</f>
        <v>Tara Richardson</v>
      </c>
      <c r="E553">
        <f>VLOOKUP('Sales table'!$A:$A,Customers!$A:$H,4,FALSE)</f>
        <v>44</v>
      </c>
      <c r="F553" t="str">
        <f>VLOOKUP('Sales table'!$A:$A,Customers!$A:$H,5,FALSE)</f>
        <v>Mumbai</v>
      </c>
      <c r="G553" t="str">
        <f>VLOOKUP($B:$B,Products!$A:$D,2,FALSE)</f>
        <v>Kids Wear</v>
      </c>
      <c r="H553" t="str">
        <f>VLOOKUP($B:$B,Products!$A:$D,3,FALSE)</f>
        <v>Clothing</v>
      </c>
      <c r="I553">
        <f>VLOOKUP($B:$B,Products!$A:$D,4,FALSE)</f>
        <v>4794</v>
      </c>
      <c r="J553" s="4">
        <f>VLOOKUP($A:$A,Sales!$B:$H,6,FALSE)</f>
        <v>45609</v>
      </c>
      <c r="K553" s="9">
        <f>VLOOKUP($A:$A,Sales!$B:$H,4,FALSE)</f>
        <v>4</v>
      </c>
      <c r="L553" s="5">
        <f t="shared" si="8"/>
        <v>19176</v>
      </c>
    </row>
    <row r="554" spans="1:12" x14ac:dyDescent="0.3">
      <c r="A554">
        <v>1252</v>
      </c>
      <c r="B554">
        <v>2011</v>
      </c>
      <c r="C554">
        <v>3013</v>
      </c>
      <c r="D554" t="str">
        <f>VLOOKUP('Sales table'!$A:$A,Customers!$A:$H,2,FALSE)</f>
        <v>Sheryl Henderson</v>
      </c>
      <c r="E554">
        <f>VLOOKUP('Sales table'!$A:$A,Customers!$A:$H,4,FALSE)</f>
        <v>41</v>
      </c>
      <c r="F554" t="str">
        <f>VLOOKUP('Sales table'!$A:$A,Customers!$A:$H,5,FALSE)</f>
        <v>Mumbai</v>
      </c>
      <c r="G554" t="str">
        <f>VLOOKUP($B:$B,Products!$A:$D,2,FALSE)</f>
        <v>Festive Thali</v>
      </c>
      <c r="H554" t="str">
        <f>VLOOKUP($B:$B,Products!$A:$D,3,FALSE)</f>
        <v>Other</v>
      </c>
      <c r="I554">
        <f>VLOOKUP($B:$B,Products!$A:$D,4,FALSE)</f>
        <v>7481</v>
      </c>
      <c r="J554" s="4">
        <f>VLOOKUP($A:$A,Sales!$B:$H,6,FALSE)</f>
        <v>45611</v>
      </c>
      <c r="K554" s="9">
        <f>VLOOKUP($A:$A,Sales!$B:$H,4,FALSE)</f>
        <v>1</v>
      </c>
      <c r="L554" s="5">
        <f t="shared" si="8"/>
        <v>7481</v>
      </c>
    </row>
    <row r="555" spans="1:12" x14ac:dyDescent="0.3">
      <c r="A555">
        <v>1296</v>
      </c>
      <c r="B555">
        <v>2009</v>
      </c>
      <c r="C555">
        <v>3022</v>
      </c>
      <c r="D555" t="str">
        <f>VLOOKUP('Sales table'!$A:$A,Customers!$A:$H,2,FALSE)</f>
        <v>Robert Lee</v>
      </c>
      <c r="E555">
        <f>VLOOKUP('Sales table'!$A:$A,Customers!$A:$H,4,FALSE)</f>
        <v>40</v>
      </c>
      <c r="F555" t="str">
        <f>VLOOKUP('Sales table'!$A:$A,Customers!$A:$H,5,FALSE)</f>
        <v>Pune</v>
      </c>
      <c r="G555" t="str">
        <f>VLOOKUP($B:$B,Products!$A:$D,2,FALSE)</f>
        <v>Bluetooth Speaker</v>
      </c>
      <c r="H555" t="str">
        <f>VLOOKUP($B:$B,Products!$A:$D,3,FALSE)</f>
        <v>Electronics</v>
      </c>
      <c r="I555">
        <f>VLOOKUP($B:$B,Products!$A:$D,4,FALSE)</f>
        <v>11047</v>
      </c>
      <c r="J555" s="4">
        <f>VLOOKUP($A:$A,Sales!$B:$H,6,FALSE)</f>
        <v>45610</v>
      </c>
      <c r="K555" s="9">
        <f>VLOOKUP($A:$A,Sales!$B:$H,4,FALSE)</f>
        <v>1</v>
      </c>
      <c r="L555" s="5">
        <f t="shared" si="8"/>
        <v>11047</v>
      </c>
    </row>
    <row r="556" spans="1:12" x14ac:dyDescent="0.3">
      <c r="A556">
        <v>1181</v>
      </c>
      <c r="B556">
        <v>2018</v>
      </c>
      <c r="C556">
        <v>3018</v>
      </c>
      <c r="D556" t="str">
        <f>VLOOKUP('Sales table'!$A:$A,Customers!$A:$H,2,FALSE)</f>
        <v>Joseph Browning</v>
      </c>
      <c r="E556">
        <f>VLOOKUP('Sales table'!$A:$A,Customers!$A:$H,4,FALSE)</f>
        <v>59</v>
      </c>
      <c r="F556" t="str">
        <f>VLOOKUP('Sales table'!$A:$A,Customers!$A:$H,5,FALSE)</f>
        <v>Hyderabad</v>
      </c>
      <c r="G556" t="str">
        <f>VLOOKUP($B:$B,Products!$A:$D,2,FALSE)</f>
        <v>Dry Fruits Pack</v>
      </c>
      <c r="H556" t="str">
        <f>VLOOKUP($B:$B,Products!$A:$D,3,FALSE)</f>
        <v>Sweets &amp; Gifts</v>
      </c>
      <c r="I556">
        <f>VLOOKUP($B:$B,Products!$A:$D,4,FALSE)</f>
        <v>7243</v>
      </c>
      <c r="J556" s="4">
        <f>VLOOKUP($A:$A,Sales!$B:$H,6,FALSE)</f>
        <v>45613</v>
      </c>
      <c r="K556" s="9">
        <f>VLOOKUP($A:$A,Sales!$B:$H,4,FALSE)</f>
        <v>2</v>
      </c>
      <c r="L556" s="5">
        <f t="shared" si="8"/>
        <v>14486</v>
      </c>
    </row>
    <row r="557" spans="1:12" x14ac:dyDescent="0.3">
      <c r="A557">
        <v>1228</v>
      </c>
      <c r="B557">
        <v>2020</v>
      </c>
      <c r="C557">
        <v>3008</v>
      </c>
      <c r="D557" t="str">
        <f>VLOOKUP('Sales table'!$A:$A,Customers!$A:$H,2,FALSE)</f>
        <v>Ian Kemp</v>
      </c>
      <c r="E557">
        <f>VLOOKUP('Sales table'!$A:$A,Customers!$A:$H,4,FALSE)</f>
        <v>42</v>
      </c>
      <c r="F557" t="str">
        <f>VLOOKUP('Sales table'!$A:$A,Customers!$A:$H,5,FALSE)</f>
        <v>Kolkata</v>
      </c>
      <c r="G557" t="str">
        <f>VLOOKUP($B:$B,Products!$A:$D,2,FALSE)</f>
        <v>Ethnic Jewelry</v>
      </c>
      <c r="H557" t="str">
        <f>VLOOKUP($B:$B,Products!$A:$D,3,FALSE)</f>
        <v>Precious Items</v>
      </c>
      <c r="I557">
        <f>VLOOKUP($B:$B,Products!$A:$D,4,FALSE)</f>
        <v>4495</v>
      </c>
      <c r="J557" s="4">
        <f>VLOOKUP($A:$A,Sales!$B:$H,6,FALSE)</f>
        <v>45606</v>
      </c>
      <c r="K557" s="9">
        <f>VLOOKUP($A:$A,Sales!$B:$H,4,FALSE)</f>
        <v>4</v>
      </c>
      <c r="L557" s="5">
        <f t="shared" si="8"/>
        <v>17980</v>
      </c>
    </row>
    <row r="558" spans="1:12" x14ac:dyDescent="0.3">
      <c r="A558">
        <v>1047</v>
      </c>
      <c r="B558">
        <v>2003</v>
      </c>
      <c r="C558">
        <v>3022</v>
      </c>
      <c r="D558" t="str">
        <f>VLOOKUP('Sales table'!$A:$A,Customers!$A:$H,2,FALSE)</f>
        <v>Lynn Henderson</v>
      </c>
      <c r="E558">
        <f>VLOOKUP('Sales table'!$A:$A,Customers!$A:$H,4,FALSE)</f>
        <v>40</v>
      </c>
      <c r="F558" t="str">
        <f>VLOOKUP('Sales table'!$A:$A,Customers!$A:$H,5,FALSE)</f>
        <v>Delhi</v>
      </c>
      <c r="G558" t="str">
        <f>VLOOKUP($B:$B,Products!$A:$D,2,FALSE)</f>
        <v>Kurta</v>
      </c>
      <c r="H558" t="str">
        <f>VLOOKUP($B:$B,Products!$A:$D,3,FALSE)</f>
        <v>Clothing</v>
      </c>
      <c r="I558">
        <f>VLOOKUP($B:$B,Products!$A:$D,4,FALSE)</f>
        <v>13241</v>
      </c>
      <c r="J558" s="4">
        <f>VLOOKUP($A:$A,Sales!$B:$H,6,FALSE)</f>
        <v>45600</v>
      </c>
      <c r="K558" s="9">
        <f>VLOOKUP($A:$A,Sales!$B:$H,4,FALSE)</f>
        <v>5</v>
      </c>
      <c r="L558" s="5">
        <f t="shared" si="8"/>
        <v>66205</v>
      </c>
    </row>
    <row r="559" spans="1:12" x14ac:dyDescent="0.3">
      <c r="A559">
        <v>1260</v>
      </c>
      <c r="B559">
        <v>2016</v>
      </c>
      <c r="C559">
        <v>3014</v>
      </c>
      <c r="D559" t="str">
        <f>VLOOKUP('Sales table'!$A:$A,Customers!$A:$H,2,FALSE)</f>
        <v>Scott Wheeler</v>
      </c>
      <c r="E559">
        <f>VLOOKUP('Sales table'!$A:$A,Customers!$A:$H,4,FALSE)</f>
        <v>40</v>
      </c>
      <c r="F559" t="str">
        <f>VLOOKUP('Sales table'!$A:$A,Customers!$A:$H,5,FALSE)</f>
        <v>Hyderabad</v>
      </c>
      <c r="G559" t="str">
        <f>VLOOKUP($B:$B,Products!$A:$D,2,FALSE)</f>
        <v>Fairy Lights</v>
      </c>
      <c r="H559" t="str">
        <f>VLOOKUP($B:$B,Products!$A:$D,3,FALSE)</f>
        <v>Home Decor</v>
      </c>
      <c r="I559">
        <f>VLOOKUP($B:$B,Products!$A:$D,4,FALSE)</f>
        <v>12242</v>
      </c>
      <c r="J559" s="4">
        <f>VLOOKUP($A:$A,Sales!$B:$H,6,FALSE)</f>
        <v>45581</v>
      </c>
      <c r="K559" s="9">
        <f>VLOOKUP($A:$A,Sales!$B:$H,4,FALSE)</f>
        <v>5</v>
      </c>
      <c r="L559" s="5">
        <f t="shared" si="8"/>
        <v>61210</v>
      </c>
    </row>
    <row r="560" spans="1:12" x14ac:dyDescent="0.3">
      <c r="A560">
        <v>1267</v>
      </c>
      <c r="B560">
        <v>2010</v>
      </c>
      <c r="C560">
        <v>3007</v>
      </c>
      <c r="D560" t="str">
        <f>VLOOKUP('Sales table'!$A:$A,Customers!$A:$H,2,FALSE)</f>
        <v>Sharon Cannon</v>
      </c>
      <c r="E560">
        <f>VLOOKUP('Sales table'!$A:$A,Customers!$A:$H,4,FALSE)</f>
        <v>55</v>
      </c>
      <c r="F560" t="str">
        <f>VLOOKUP('Sales table'!$A:$A,Customers!$A:$H,5,FALSE)</f>
        <v>Mumbai</v>
      </c>
      <c r="G560" t="str">
        <f>VLOOKUP($B:$B,Products!$A:$D,2,FALSE)</f>
        <v>Chocolate Box</v>
      </c>
      <c r="H560" t="str">
        <f>VLOOKUP($B:$B,Products!$A:$D,3,FALSE)</f>
        <v>Sweets &amp; Gifts</v>
      </c>
      <c r="I560">
        <f>VLOOKUP($B:$B,Products!$A:$D,4,FALSE)</f>
        <v>17909</v>
      </c>
      <c r="J560" s="4">
        <f>VLOOKUP($A:$A,Sales!$B:$H,6,FALSE)</f>
        <v>45593</v>
      </c>
      <c r="K560" s="9">
        <f>VLOOKUP($A:$A,Sales!$B:$H,4,FALSE)</f>
        <v>3</v>
      </c>
      <c r="L560" s="5">
        <f t="shared" si="8"/>
        <v>53727</v>
      </c>
    </row>
    <row r="561" spans="1:12" x14ac:dyDescent="0.3">
      <c r="A561">
        <v>1067</v>
      </c>
      <c r="B561">
        <v>2008</v>
      </c>
      <c r="C561">
        <v>3028</v>
      </c>
      <c r="D561" t="str">
        <f>VLOOKUP('Sales table'!$A:$A,Customers!$A:$H,2,FALSE)</f>
        <v>Carrie Landry</v>
      </c>
      <c r="E561">
        <f>VLOOKUP('Sales table'!$A:$A,Customers!$A:$H,4,FALSE)</f>
        <v>39</v>
      </c>
      <c r="F561" t="str">
        <f>VLOOKUP('Sales table'!$A:$A,Customers!$A:$H,5,FALSE)</f>
        <v>Bangalore</v>
      </c>
      <c r="G561" t="str">
        <f>VLOOKUP($B:$B,Products!$A:$D,2,FALSE)</f>
        <v>Earthen Diyas</v>
      </c>
      <c r="H561" t="str">
        <f>VLOOKUP($B:$B,Products!$A:$D,3,FALSE)</f>
        <v>Home Decor</v>
      </c>
      <c r="I561">
        <f>VLOOKUP($B:$B,Products!$A:$D,4,FALSE)</f>
        <v>2136</v>
      </c>
      <c r="J561" s="4">
        <f>VLOOKUP($A:$A,Sales!$B:$H,6,FALSE)</f>
        <v>45595</v>
      </c>
      <c r="K561" s="9">
        <f>VLOOKUP($A:$A,Sales!$B:$H,4,FALSE)</f>
        <v>5</v>
      </c>
      <c r="L561" s="5">
        <f t="shared" si="8"/>
        <v>10680</v>
      </c>
    </row>
    <row r="562" spans="1:12" x14ac:dyDescent="0.3">
      <c r="A562">
        <v>1248</v>
      </c>
      <c r="B562">
        <v>2011</v>
      </c>
      <c r="C562">
        <v>3021</v>
      </c>
      <c r="D562" t="str">
        <f>VLOOKUP('Sales table'!$A:$A,Customers!$A:$H,2,FALSE)</f>
        <v>Karen Anderson</v>
      </c>
      <c r="E562">
        <f>VLOOKUP('Sales table'!$A:$A,Customers!$A:$H,4,FALSE)</f>
        <v>18</v>
      </c>
      <c r="F562" t="str">
        <f>VLOOKUP('Sales table'!$A:$A,Customers!$A:$H,5,FALSE)</f>
        <v>Mumbai</v>
      </c>
      <c r="G562" t="str">
        <f>VLOOKUP($B:$B,Products!$A:$D,2,FALSE)</f>
        <v>Festive Thali</v>
      </c>
      <c r="H562" t="str">
        <f>VLOOKUP($B:$B,Products!$A:$D,3,FALSE)</f>
        <v>Other</v>
      </c>
      <c r="I562">
        <f>VLOOKUP($B:$B,Products!$A:$D,4,FALSE)</f>
        <v>7481</v>
      </c>
      <c r="J562" s="4">
        <f>VLOOKUP($A:$A,Sales!$B:$H,6,FALSE)</f>
        <v>45601</v>
      </c>
      <c r="K562" s="9">
        <f>VLOOKUP($A:$A,Sales!$B:$H,4,FALSE)</f>
        <v>5</v>
      </c>
      <c r="L562" s="5">
        <f t="shared" si="8"/>
        <v>37405</v>
      </c>
    </row>
    <row r="563" spans="1:12" x14ac:dyDescent="0.3">
      <c r="A563">
        <v>1111</v>
      </c>
      <c r="B563">
        <v>2006</v>
      </c>
      <c r="C563">
        <v>3026</v>
      </c>
      <c r="D563" t="str">
        <f>VLOOKUP('Sales table'!$A:$A,Customers!$A:$H,2,FALSE)</f>
        <v>Steven Jones</v>
      </c>
      <c r="E563">
        <f>VLOOKUP('Sales table'!$A:$A,Customers!$A:$H,4,FALSE)</f>
        <v>42</v>
      </c>
      <c r="F563" t="str">
        <f>VLOOKUP('Sales table'!$A:$A,Customers!$A:$H,5,FALSE)</f>
        <v>Delhi</v>
      </c>
      <c r="G563" t="str">
        <f>VLOOKUP($B:$B,Products!$A:$D,2,FALSE)</f>
        <v>Crackers Pack</v>
      </c>
      <c r="H563" t="str">
        <f>VLOOKUP($B:$B,Products!$A:$D,3,FALSE)</f>
        <v>Crackers</v>
      </c>
      <c r="I563">
        <f>VLOOKUP($B:$B,Products!$A:$D,4,FALSE)</f>
        <v>12060</v>
      </c>
      <c r="J563" s="4">
        <f>VLOOKUP($A:$A,Sales!$B:$H,6,FALSE)</f>
        <v>45609</v>
      </c>
      <c r="K563" s="9">
        <f>VLOOKUP($A:$A,Sales!$B:$H,4,FALSE)</f>
        <v>2</v>
      </c>
      <c r="L563" s="5">
        <f t="shared" si="8"/>
        <v>24120</v>
      </c>
    </row>
    <row r="564" spans="1:12" x14ac:dyDescent="0.3">
      <c r="A564">
        <v>1118</v>
      </c>
      <c r="B564">
        <v>2011</v>
      </c>
      <c r="C564">
        <v>3015</v>
      </c>
      <c r="D564" t="str">
        <f>VLOOKUP('Sales table'!$A:$A,Customers!$A:$H,2,FALSE)</f>
        <v>Jillian Khan</v>
      </c>
      <c r="E564">
        <f>VLOOKUP('Sales table'!$A:$A,Customers!$A:$H,4,FALSE)</f>
        <v>29</v>
      </c>
      <c r="F564" t="str">
        <f>VLOOKUP('Sales table'!$A:$A,Customers!$A:$H,5,FALSE)</f>
        <v>Pune</v>
      </c>
      <c r="G564" t="str">
        <f>VLOOKUP($B:$B,Products!$A:$D,2,FALSE)</f>
        <v>Festive Thali</v>
      </c>
      <c r="H564" t="str">
        <f>VLOOKUP($B:$B,Products!$A:$D,3,FALSE)</f>
        <v>Other</v>
      </c>
      <c r="I564">
        <f>VLOOKUP($B:$B,Products!$A:$D,4,FALSE)</f>
        <v>7481</v>
      </c>
      <c r="J564" s="4">
        <f>VLOOKUP($A:$A,Sales!$B:$H,6,FALSE)</f>
        <v>45591</v>
      </c>
      <c r="K564" s="9">
        <f>VLOOKUP($A:$A,Sales!$B:$H,4,FALSE)</f>
        <v>3</v>
      </c>
      <c r="L564" s="5">
        <f t="shared" si="8"/>
        <v>22443</v>
      </c>
    </row>
    <row r="565" spans="1:12" x14ac:dyDescent="0.3">
      <c r="A565">
        <v>1020</v>
      </c>
      <c r="B565">
        <v>2004</v>
      </c>
      <c r="C565">
        <v>3026</v>
      </c>
      <c r="D565" t="str">
        <f>VLOOKUP('Sales table'!$A:$A,Customers!$A:$H,2,FALSE)</f>
        <v>Mallory Jackson</v>
      </c>
      <c r="E565">
        <f>VLOOKUP('Sales table'!$A:$A,Customers!$A:$H,4,FALSE)</f>
        <v>60</v>
      </c>
      <c r="F565" t="str">
        <f>VLOOKUP('Sales table'!$A:$A,Customers!$A:$H,5,FALSE)</f>
        <v>Kolkata</v>
      </c>
      <c r="G565" t="str">
        <f>VLOOKUP($B:$B,Products!$A:$D,2,FALSE)</f>
        <v>Smartphone</v>
      </c>
      <c r="H565" t="str">
        <f>VLOOKUP($B:$B,Products!$A:$D,3,FALSE)</f>
        <v>Electronics</v>
      </c>
      <c r="I565">
        <f>VLOOKUP($B:$B,Products!$A:$D,4,FALSE)</f>
        <v>4952</v>
      </c>
      <c r="J565" s="4">
        <f>VLOOKUP($A:$A,Sales!$B:$H,6,FALSE)</f>
        <v>45610</v>
      </c>
      <c r="K565" s="9">
        <f>VLOOKUP($A:$A,Sales!$B:$H,4,FALSE)</f>
        <v>4</v>
      </c>
      <c r="L565" s="5">
        <f t="shared" si="8"/>
        <v>19808</v>
      </c>
    </row>
    <row r="566" spans="1:12" x14ac:dyDescent="0.3">
      <c r="A566">
        <v>1126</v>
      </c>
      <c r="B566">
        <v>2024</v>
      </c>
      <c r="C566">
        <v>3020</v>
      </c>
      <c r="D566" t="str">
        <f>VLOOKUP('Sales table'!$A:$A,Customers!$A:$H,2,FALSE)</f>
        <v>Michael Dawson</v>
      </c>
      <c r="E566">
        <f>VLOOKUP('Sales table'!$A:$A,Customers!$A:$H,4,FALSE)</f>
        <v>63</v>
      </c>
      <c r="F566" t="str">
        <f>VLOOKUP('Sales table'!$A:$A,Customers!$A:$H,5,FALSE)</f>
        <v>Chennai</v>
      </c>
      <c r="G566" t="str">
        <f>VLOOKUP($B:$B,Products!$A:$D,2,FALSE)</f>
        <v>Perfume Gift Set</v>
      </c>
      <c r="H566" t="str">
        <f>VLOOKUP($B:$B,Products!$A:$D,3,FALSE)</f>
        <v>Accessories</v>
      </c>
      <c r="I566">
        <f>VLOOKUP($B:$B,Products!$A:$D,4,FALSE)</f>
        <v>16272</v>
      </c>
      <c r="J566" s="4">
        <f>VLOOKUP($A:$A,Sales!$B:$H,6,FALSE)</f>
        <v>45595</v>
      </c>
      <c r="K566" s="9">
        <f>VLOOKUP($A:$A,Sales!$B:$H,4,FALSE)</f>
        <v>5</v>
      </c>
      <c r="L566" s="5">
        <f t="shared" si="8"/>
        <v>81360</v>
      </c>
    </row>
    <row r="567" spans="1:12" x14ac:dyDescent="0.3">
      <c r="A567">
        <v>1117</v>
      </c>
      <c r="B567">
        <v>2004</v>
      </c>
      <c r="C567">
        <v>3017</v>
      </c>
      <c r="D567" t="str">
        <f>VLOOKUP('Sales table'!$A:$A,Customers!$A:$H,2,FALSE)</f>
        <v>Matthew Nielsen</v>
      </c>
      <c r="E567">
        <f>VLOOKUP('Sales table'!$A:$A,Customers!$A:$H,4,FALSE)</f>
        <v>37</v>
      </c>
      <c r="F567" t="str">
        <f>VLOOKUP('Sales table'!$A:$A,Customers!$A:$H,5,FALSE)</f>
        <v>Hyderabad</v>
      </c>
      <c r="G567" t="str">
        <f>VLOOKUP($B:$B,Products!$A:$D,2,FALSE)</f>
        <v>Smartphone</v>
      </c>
      <c r="H567" t="str">
        <f>VLOOKUP($B:$B,Products!$A:$D,3,FALSE)</f>
        <v>Electronics</v>
      </c>
      <c r="I567">
        <f>VLOOKUP($B:$B,Products!$A:$D,4,FALSE)</f>
        <v>4952</v>
      </c>
      <c r="J567" s="4">
        <f>VLOOKUP($A:$A,Sales!$B:$H,6,FALSE)</f>
        <v>45598</v>
      </c>
      <c r="K567" s="9">
        <f>VLOOKUP($A:$A,Sales!$B:$H,4,FALSE)</f>
        <v>2</v>
      </c>
      <c r="L567" s="5">
        <f t="shared" si="8"/>
        <v>9904</v>
      </c>
    </row>
    <row r="568" spans="1:12" x14ac:dyDescent="0.3">
      <c r="A568">
        <v>1270</v>
      </c>
      <c r="B568">
        <v>2012</v>
      </c>
      <c r="C568">
        <v>3028</v>
      </c>
      <c r="D568" t="str">
        <f>VLOOKUP('Sales table'!$A:$A,Customers!$A:$H,2,FALSE)</f>
        <v>Keith Diaz</v>
      </c>
      <c r="E568">
        <f>VLOOKUP('Sales table'!$A:$A,Customers!$A:$H,4,FALSE)</f>
        <v>45</v>
      </c>
      <c r="F568" t="str">
        <f>VLOOKUP('Sales table'!$A:$A,Customers!$A:$H,5,FALSE)</f>
        <v>Pune</v>
      </c>
      <c r="G568" t="str">
        <f>VLOOKUP($B:$B,Products!$A:$D,2,FALSE)</f>
        <v>Wall Hanging</v>
      </c>
      <c r="H568" t="str">
        <f>VLOOKUP($B:$B,Products!$A:$D,3,FALSE)</f>
        <v>Home Decor</v>
      </c>
      <c r="I568">
        <f>VLOOKUP($B:$B,Products!$A:$D,4,FALSE)</f>
        <v>11867</v>
      </c>
      <c r="J568" s="4">
        <f>VLOOKUP($A:$A,Sales!$B:$H,6,FALSE)</f>
        <v>45575</v>
      </c>
      <c r="K568" s="9">
        <f>VLOOKUP($A:$A,Sales!$B:$H,4,FALSE)</f>
        <v>2</v>
      </c>
      <c r="L568" s="5">
        <f t="shared" si="8"/>
        <v>23734</v>
      </c>
    </row>
    <row r="569" spans="1:12" x14ac:dyDescent="0.3">
      <c r="A569">
        <v>1034</v>
      </c>
      <c r="B569">
        <v>2019</v>
      </c>
      <c r="C569">
        <v>3022</v>
      </c>
      <c r="D569" t="str">
        <f>VLOOKUP('Sales table'!$A:$A,Customers!$A:$H,2,FALSE)</f>
        <v>Pamela Watson</v>
      </c>
      <c r="E569">
        <f>VLOOKUP('Sales table'!$A:$A,Customers!$A:$H,4,FALSE)</f>
        <v>25</v>
      </c>
      <c r="F569" t="str">
        <f>VLOOKUP('Sales table'!$A:$A,Customers!$A:$H,5,FALSE)</f>
        <v>Kolkata</v>
      </c>
      <c r="G569" t="str">
        <f>VLOOKUP($B:$B,Products!$A:$D,2,FALSE)</f>
        <v>Designer Kurti</v>
      </c>
      <c r="H569" t="str">
        <f>VLOOKUP($B:$B,Products!$A:$D,3,FALSE)</f>
        <v>Clothing</v>
      </c>
      <c r="I569">
        <f>VLOOKUP($B:$B,Products!$A:$D,4,FALSE)</f>
        <v>13620</v>
      </c>
      <c r="J569" s="4">
        <f>VLOOKUP($A:$A,Sales!$B:$H,6,FALSE)</f>
        <v>45603</v>
      </c>
      <c r="K569" s="9">
        <f>VLOOKUP($A:$A,Sales!$B:$H,4,FALSE)</f>
        <v>1</v>
      </c>
      <c r="L569" s="5">
        <f t="shared" si="8"/>
        <v>13620</v>
      </c>
    </row>
    <row r="570" spans="1:12" x14ac:dyDescent="0.3">
      <c r="A570">
        <v>1052</v>
      </c>
      <c r="B570">
        <v>2006</v>
      </c>
      <c r="C570">
        <v>3025</v>
      </c>
      <c r="D570" t="str">
        <f>VLOOKUP('Sales table'!$A:$A,Customers!$A:$H,2,FALSE)</f>
        <v>Kristin Ayers</v>
      </c>
      <c r="E570">
        <f>VLOOKUP('Sales table'!$A:$A,Customers!$A:$H,4,FALSE)</f>
        <v>38</v>
      </c>
      <c r="F570" t="str">
        <f>VLOOKUP('Sales table'!$A:$A,Customers!$A:$H,5,FALSE)</f>
        <v>Bangalore</v>
      </c>
      <c r="G570" t="str">
        <f>VLOOKUP($B:$B,Products!$A:$D,2,FALSE)</f>
        <v>Crackers Pack</v>
      </c>
      <c r="H570" t="str">
        <f>VLOOKUP($B:$B,Products!$A:$D,3,FALSE)</f>
        <v>Crackers</v>
      </c>
      <c r="I570">
        <f>VLOOKUP($B:$B,Products!$A:$D,4,FALSE)</f>
        <v>12060</v>
      </c>
      <c r="J570" s="4">
        <f>VLOOKUP($A:$A,Sales!$B:$H,6,FALSE)</f>
        <v>45613</v>
      </c>
      <c r="K570" s="9">
        <f>VLOOKUP($A:$A,Sales!$B:$H,4,FALSE)</f>
        <v>1</v>
      </c>
      <c r="L570" s="5">
        <f t="shared" si="8"/>
        <v>12060</v>
      </c>
    </row>
    <row r="571" spans="1:12" x14ac:dyDescent="0.3">
      <c r="A571">
        <v>1049</v>
      </c>
      <c r="B571">
        <v>2023</v>
      </c>
      <c r="C571">
        <v>3025</v>
      </c>
      <c r="D571" t="str">
        <f>VLOOKUP('Sales table'!$A:$A,Customers!$A:$H,2,FALSE)</f>
        <v>Richard Nicholson</v>
      </c>
      <c r="E571">
        <f>VLOOKUP('Sales table'!$A:$A,Customers!$A:$H,4,FALSE)</f>
        <v>58</v>
      </c>
      <c r="F571" t="str">
        <f>VLOOKUP('Sales table'!$A:$A,Customers!$A:$H,5,FALSE)</f>
        <v>Hyderabad</v>
      </c>
      <c r="G571" t="str">
        <f>VLOOKUP($B:$B,Products!$A:$D,2,FALSE)</f>
        <v>Kids Wear</v>
      </c>
      <c r="H571" t="str">
        <f>VLOOKUP($B:$B,Products!$A:$D,3,FALSE)</f>
        <v>Clothing</v>
      </c>
      <c r="I571">
        <f>VLOOKUP($B:$B,Products!$A:$D,4,FALSE)</f>
        <v>4794</v>
      </c>
      <c r="J571" s="4">
        <f>VLOOKUP($A:$A,Sales!$B:$H,6,FALSE)</f>
        <v>45600</v>
      </c>
      <c r="K571" s="9">
        <f>VLOOKUP($A:$A,Sales!$B:$H,4,FALSE)</f>
        <v>1</v>
      </c>
      <c r="L571" s="5">
        <f t="shared" si="8"/>
        <v>4794</v>
      </c>
    </row>
    <row r="572" spans="1:12" x14ac:dyDescent="0.3">
      <c r="A572">
        <v>1271</v>
      </c>
      <c r="B572">
        <v>2015</v>
      </c>
      <c r="C572">
        <v>3014</v>
      </c>
      <c r="D572" t="str">
        <f>VLOOKUP('Sales table'!$A:$A,Customers!$A:$H,2,FALSE)</f>
        <v>Alicia Bailey</v>
      </c>
      <c r="E572">
        <f>VLOOKUP('Sales table'!$A:$A,Customers!$A:$H,4,FALSE)</f>
        <v>41</v>
      </c>
      <c r="F572" t="str">
        <f>VLOOKUP('Sales table'!$A:$A,Customers!$A:$H,5,FALSE)</f>
        <v>Bangalore</v>
      </c>
      <c r="G572" t="str">
        <f>VLOOKUP($B:$B,Products!$A:$D,2,FALSE)</f>
        <v>Candle Set</v>
      </c>
      <c r="H572" t="str">
        <f>VLOOKUP($B:$B,Products!$A:$D,3,FALSE)</f>
        <v>Home Decor</v>
      </c>
      <c r="I572">
        <f>VLOOKUP($B:$B,Products!$A:$D,4,FALSE)</f>
        <v>17604</v>
      </c>
      <c r="J572" s="4">
        <f>VLOOKUP($A:$A,Sales!$B:$H,6,FALSE)</f>
        <v>45605</v>
      </c>
      <c r="K572" s="9">
        <f>VLOOKUP($A:$A,Sales!$B:$H,4,FALSE)</f>
        <v>2</v>
      </c>
      <c r="L572" s="5">
        <f t="shared" si="8"/>
        <v>35208</v>
      </c>
    </row>
    <row r="573" spans="1:12" x14ac:dyDescent="0.3">
      <c r="A573">
        <v>1101</v>
      </c>
      <c r="B573">
        <v>2023</v>
      </c>
      <c r="C573">
        <v>3015</v>
      </c>
      <c r="D573" t="str">
        <f>VLOOKUP('Sales table'!$A:$A,Customers!$A:$H,2,FALSE)</f>
        <v>Ronald Wright</v>
      </c>
      <c r="E573">
        <f>VLOOKUP('Sales table'!$A:$A,Customers!$A:$H,4,FALSE)</f>
        <v>46</v>
      </c>
      <c r="F573" t="str">
        <f>VLOOKUP('Sales table'!$A:$A,Customers!$A:$H,5,FALSE)</f>
        <v>Delhi</v>
      </c>
      <c r="G573" t="str">
        <f>VLOOKUP($B:$B,Products!$A:$D,2,FALSE)</f>
        <v>Kids Wear</v>
      </c>
      <c r="H573" t="str">
        <f>VLOOKUP($B:$B,Products!$A:$D,3,FALSE)</f>
        <v>Clothing</v>
      </c>
      <c r="I573">
        <f>VLOOKUP($B:$B,Products!$A:$D,4,FALSE)</f>
        <v>4794</v>
      </c>
      <c r="J573" s="4">
        <f>VLOOKUP($A:$A,Sales!$B:$H,6,FALSE)</f>
        <v>45613</v>
      </c>
      <c r="K573" s="9">
        <f>VLOOKUP($A:$A,Sales!$B:$H,4,FALSE)</f>
        <v>3</v>
      </c>
      <c r="L573" s="5">
        <f t="shared" si="8"/>
        <v>14382</v>
      </c>
    </row>
    <row r="574" spans="1:12" x14ac:dyDescent="0.3">
      <c r="A574">
        <v>1251</v>
      </c>
      <c r="B574">
        <v>2002</v>
      </c>
      <c r="C574">
        <v>3002</v>
      </c>
      <c r="D574" t="str">
        <f>VLOOKUP('Sales table'!$A:$A,Customers!$A:$H,2,FALSE)</f>
        <v>Zachary Browning</v>
      </c>
      <c r="E574">
        <f>VLOOKUP('Sales table'!$A:$A,Customers!$A:$H,4,FALSE)</f>
        <v>20</v>
      </c>
      <c r="F574" t="str">
        <f>VLOOKUP('Sales table'!$A:$A,Customers!$A:$H,5,FALSE)</f>
        <v>Hyderabad</v>
      </c>
      <c r="G574" t="str">
        <f>VLOOKUP($B:$B,Products!$A:$D,2,FALSE)</f>
        <v>Saree</v>
      </c>
      <c r="H574" t="str">
        <f>VLOOKUP($B:$B,Products!$A:$D,3,FALSE)</f>
        <v>Clothing</v>
      </c>
      <c r="I574">
        <f>VLOOKUP($B:$B,Products!$A:$D,4,FALSE)</f>
        <v>9534</v>
      </c>
      <c r="J574" s="4">
        <f>VLOOKUP($A:$A,Sales!$B:$H,6,FALSE)</f>
        <v>45612</v>
      </c>
      <c r="K574" s="9">
        <f>VLOOKUP($A:$A,Sales!$B:$H,4,FALSE)</f>
        <v>1</v>
      </c>
      <c r="L574" s="5">
        <f t="shared" si="8"/>
        <v>9534</v>
      </c>
    </row>
    <row r="575" spans="1:12" x14ac:dyDescent="0.3">
      <c r="A575">
        <v>1127</v>
      </c>
      <c r="B575">
        <v>2015</v>
      </c>
      <c r="C575">
        <v>3026</v>
      </c>
      <c r="D575" t="str">
        <f>VLOOKUP('Sales table'!$A:$A,Customers!$A:$H,2,FALSE)</f>
        <v>Tom Irwin</v>
      </c>
      <c r="E575">
        <f>VLOOKUP('Sales table'!$A:$A,Customers!$A:$H,4,FALSE)</f>
        <v>38</v>
      </c>
      <c r="F575" t="str">
        <f>VLOOKUP('Sales table'!$A:$A,Customers!$A:$H,5,FALSE)</f>
        <v>Delhi</v>
      </c>
      <c r="G575" t="str">
        <f>VLOOKUP($B:$B,Products!$A:$D,2,FALSE)</f>
        <v>Candle Set</v>
      </c>
      <c r="H575" t="str">
        <f>VLOOKUP($B:$B,Products!$A:$D,3,FALSE)</f>
        <v>Home Decor</v>
      </c>
      <c r="I575">
        <f>VLOOKUP($B:$B,Products!$A:$D,4,FALSE)</f>
        <v>17604</v>
      </c>
      <c r="J575" s="4">
        <f>VLOOKUP($A:$A,Sales!$B:$H,6,FALSE)</f>
        <v>45600</v>
      </c>
      <c r="K575" s="9">
        <f>VLOOKUP($A:$A,Sales!$B:$H,4,FALSE)</f>
        <v>4</v>
      </c>
      <c r="L575" s="5">
        <f t="shared" si="8"/>
        <v>70416</v>
      </c>
    </row>
    <row r="576" spans="1:12" x14ac:dyDescent="0.3">
      <c r="A576">
        <v>1219</v>
      </c>
      <c r="B576">
        <v>2019</v>
      </c>
      <c r="C576">
        <v>3012</v>
      </c>
      <c r="D576" t="str">
        <f>VLOOKUP('Sales table'!$A:$A,Customers!$A:$H,2,FALSE)</f>
        <v>Christopher Osborne</v>
      </c>
      <c r="E576">
        <f>VLOOKUP('Sales table'!$A:$A,Customers!$A:$H,4,FALSE)</f>
        <v>47</v>
      </c>
      <c r="F576" t="str">
        <f>VLOOKUP('Sales table'!$A:$A,Customers!$A:$H,5,FALSE)</f>
        <v>Hyderabad</v>
      </c>
      <c r="G576" t="str">
        <f>VLOOKUP($B:$B,Products!$A:$D,2,FALSE)</f>
        <v>Designer Kurti</v>
      </c>
      <c r="H576" t="str">
        <f>VLOOKUP($B:$B,Products!$A:$D,3,FALSE)</f>
        <v>Clothing</v>
      </c>
      <c r="I576">
        <f>VLOOKUP($B:$B,Products!$A:$D,4,FALSE)</f>
        <v>13620</v>
      </c>
      <c r="J576" s="4">
        <f>VLOOKUP($A:$A,Sales!$B:$H,6,FALSE)</f>
        <v>45592</v>
      </c>
      <c r="K576" s="9">
        <f>VLOOKUP($A:$A,Sales!$B:$H,4,FALSE)</f>
        <v>4</v>
      </c>
      <c r="L576" s="5">
        <f t="shared" si="8"/>
        <v>54480</v>
      </c>
    </row>
    <row r="577" spans="1:12" x14ac:dyDescent="0.3">
      <c r="A577">
        <v>1249</v>
      </c>
      <c r="B577">
        <v>2020</v>
      </c>
      <c r="C577">
        <v>3028</v>
      </c>
      <c r="D577" t="str">
        <f>VLOOKUP('Sales table'!$A:$A,Customers!$A:$H,2,FALSE)</f>
        <v>Robert Keller</v>
      </c>
      <c r="E577">
        <f>VLOOKUP('Sales table'!$A:$A,Customers!$A:$H,4,FALSE)</f>
        <v>22</v>
      </c>
      <c r="F577" t="str">
        <f>VLOOKUP('Sales table'!$A:$A,Customers!$A:$H,5,FALSE)</f>
        <v>Mumbai</v>
      </c>
      <c r="G577" t="str">
        <f>VLOOKUP($B:$B,Products!$A:$D,2,FALSE)</f>
        <v>Ethnic Jewelry</v>
      </c>
      <c r="H577" t="str">
        <f>VLOOKUP($B:$B,Products!$A:$D,3,FALSE)</f>
        <v>Precious Items</v>
      </c>
      <c r="I577">
        <f>VLOOKUP($B:$B,Products!$A:$D,4,FALSE)</f>
        <v>4495</v>
      </c>
      <c r="J577" s="4">
        <f>VLOOKUP($A:$A,Sales!$B:$H,6,FALSE)</f>
        <v>45575</v>
      </c>
      <c r="K577" s="9">
        <f>VLOOKUP($A:$A,Sales!$B:$H,4,FALSE)</f>
        <v>3</v>
      </c>
      <c r="L577" s="5">
        <f t="shared" si="8"/>
        <v>13485</v>
      </c>
    </row>
    <row r="578" spans="1:12" x14ac:dyDescent="0.3">
      <c r="A578">
        <v>1239</v>
      </c>
      <c r="B578">
        <v>2015</v>
      </c>
      <c r="C578">
        <v>3009</v>
      </c>
      <c r="D578" t="str">
        <f>VLOOKUP('Sales table'!$A:$A,Customers!$A:$H,2,FALSE)</f>
        <v>Robert Burton</v>
      </c>
      <c r="E578">
        <f>VLOOKUP('Sales table'!$A:$A,Customers!$A:$H,4,FALSE)</f>
        <v>32</v>
      </c>
      <c r="F578" t="str">
        <f>VLOOKUP('Sales table'!$A:$A,Customers!$A:$H,5,FALSE)</f>
        <v>Chennai</v>
      </c>
      <c r="G578" t="str">
        <f>VLOOKUP($B:$B,Products!$A:$D,2,FALSE)</f>
        <v>Candle Set</v>
      </c>
      <c r="H578" t="str">
        <f>VLOOKUP($B:$B,Products!$A:$D,3,FALSE)</f>
        <v>Home Decor</v>
      </c>
      <c r="I578">
        <f>VLOOKUP($B:$B,Products!$A:$D,4,FALSE)</f>
        <v>17604</v>
      </c>
      <c r="J578" s="4">
        <f>VLOOKUP($A:$A,Sales!$B:$H,6,FALSE)</f>
        <v>45576</v>
      </c>
      <c r="K578" s="9">
        <f>VLOOKUP($A:$A,Sales!$B:$H,4,FALSE)</f>
        <v>5</v>
      </c>
      <c r="L578" s="5">
        <f t="shared" si="8"/>
        <v>88020</v>
      </c>
    </row>
    <row r="579" spans="1:12" x14ac:dyDescent="0.3">
      <c r="A579">
        <v>1027</v>
      </c>
      <c r="B579">
        <v>2024</v>
      </c>
      <c r="C579">
        <v>3032</v>
      </c>
      <c r="D579" t="str">
        <f>VLOOKUP('Sales table'!$A:$A,Customers!$A:$H,2,FALSE)</f>
        <v>Bianca Campbell</v>
      </c>
      <c r="E579">
        <f>VLOOKUP('Sales table'!$A:$A,Customers!$A:$H,4,FALSE)</f>
        <v>64</v>
      </c>
      <c r="F579" t="str">
        <f>VLOOKUP('Sales table'!$A:$A,Customers!$A:$H,5,FALSE)</f>
        <v>Mumbai</v>
      </c>
      <c r="G579" t="str">
        <f>VLOOKUP($B:$B,Products!$A:$D,2,FALSE)</f>
        <v>Perfume Gift Set</v>
      </c>
      <c r="H579" t="str">
        <f>VLOOKUP($B:$B,Products!$A:$D,3,FALSE)</f>
        <v>Accessories</v>
      </c>
      <c r="I579">
        <f>VLOOKUP($B:$B,Products!$A:$D,4,FALSE)</f>
        <v>16272</v>
      </c>
      <c r="J579" s="4">
        <f>VLOOKUP($A:$A,Sales!$B:$H,6,FALSE)</f>
        <v>45584</v>
      </c>
      <c r="K579" s="9">
        <f>VLOOKUP($A:$A,Sales!$B:$H,4,FALSE)</f>
        <v>2</v>
      </c>
      <c r="L579" s="5">
        <f t="shared" ref="L579:L642" si="9">I579*K579</f>
        <v>32544</v>
      </c>
    </row>
    <row r="580" spans="1:12" x14ac:dyDescent="0.3">
      <c r="A580">
        <v>1125</v>
      </c>
      <c r="B580">
        <v>2010</v>
      </c>
      <c r="C580">
        <v>3032</v>
      </c>
      <c r="D580" t="str">
        <f>VLOOKUP('Sales table'!$A:$A,Customers!$A:$H,2,FALSE)</f>
        <v>Ashley Hernandez</v>
      </c>
      <c r="E580">
        <f>VLOOKUP('Sales table'!$A:$A,Customers!$A:$H,4,FALSE)</f>
        <v>35</v>
      </c>
      <c r="F580" t="str">
        <f>VLOOKUP('Sales table'!$A:$A,Customers!$A:$H,5,FALSE)</f>
        <v>Hyderabad</v>
      </c>
      <c r="G580" t="str">
        <f>VLOOKUP($B:$B,Products!$A:$D,2,FALSE)</f>
        <v>Chocolate Box</v>
      </c>
      <c r="H580" t="str">
        <f>VLOOKUP($B:$B,Products!$A:$D,3,FALSE)</f>
        <v>Sweets &amp; Gifts</v>
      </c>
      <c r="I580">
        <f>VLOOKUP($B:$B,Products!$A:$D,4,FALSE)</f>
        <v>17909</v>
      </c>
      <c r="J580" s="4">
        <f>VLOOKUP($A:$A,Sales!$B:$H,6,FALSE)</f>
        <v>45580</v>
      </c>
      <c r="K580" s="9">
        <f>VLOOKUP($A:$A,Sales!$B:$H,4,FALSE)</f>
        <v>4</v>
      </c>
      <c r="L580" s="5">
        <f t="shared" si="9"/>
        <v>71636</v>
      </c>
    </row>
    <row r="581" spans="1:12" x14ac:dyDescent="0.3">
      <c r="A581">
        <v>1037</v>
      </c>
      <c r="B581">
        <v>2016</v>
      </c>
      <c r="C581">
        <v>3020</v>
      </c>
      <c r="D581" t="str">
        <f>VLOOKUP('Sales table'!$A:$A,Customers!$A:$H,2,FALSE)</f>
        <v>Donald Wells</v>
      </c>
      <c r="E581">
        <f>VLOOKUP('Sales table'!$A:$A,Customers!$A:$H,4,FALSE)</f>
        <v>36</v>
      </c>
      <c r="F581" t="str">
        <f>VLOOKUP('Sales table'!$A:$A,Customers!$A:$H,5,FALSE)</f>
        <v>Delhi</v>
      </c>
      <c r="G581" t="str">
        <f>VLOOKUP($B:$B,Products!$A:$D,2,FALSE)</f>
        <v>Fairy Lights</v>
      </c>
      <c r="H581" t="str">
        <f>VLOOKUP($B:$B,Products!$A:$D,3,FALSE)</f>
        <v>Home Decor</v>
      </c>
      <c r="I581">
        <f>VLOOKUP($B:$B,Products!$A:$D,4,FALSE)</f>
        <v>12242</v>
      </c>
      <c r="J581" s="4">
        <f>VLOOKUP($A:$A,Sales!$B:$H,6,FALSE)</f>
        <v>45603</v>
      </c>
      <c r="K581" s="9">
        <f>VLOOKUP($A:$A,Sales!$B:$H,4,FALSE)</f>
        <v>5</v>
      </c>
      <c r="L581" s="5">
        <f t="shared" si="9"/>
        <v>61210</v>
      </c>
    </row>
    <row r="582" spans="1:12" x14ac:dyDescent="0.3">
      <c r="A582">
        <v>1038</v>
      </c>
      <c r="B582">
        <v>2017</v>
      </c>
      <c r="C582">
        <v>3026</v>
      </c>
      <c r="D582" t="str">
        <f>VLOOKUP('Sales table'!$A:$A,Customers!$A:$H,2,FALSE)</f>
        <v>Eric Escobar</v>
      </c>
      <c r="E582">
        <f>VLOOKUP('Sales table'!$A:$A,Customers!$A:$H,4,FALSE)</f>
        <v>64</v>
      </c>
      <c r="F582" t="str">
        <f>VLOOKUP('Sales table'!$A:$A,Customers!$A:$H,5,FALSE)</f>
        <v>Pune</v>
      </c>
      <c r="G582" t="str">
        <f>VLOOKUP($B:$B,Products!$A:$D,2,FALSE)</f>
        <v>Handmade Pottery</v>
      </c>
      <c r="H582" t="str">
        <f>VLOOKUP($B:$B,Products!$A:$D,3,FALSE)</f>
        <v>Home Decor</v>
      </c>
      <c r="I582">
        <f>VLOOKUP($B:$B,Products!$A:$D,4,FALSE)</f>
        <v>8186</v>
      </c>
      <c r="J582" s="4">
        <f>VLOOKUP($A:$A,Sales!$B:$H,6,FALSE)</f>
        <v>45604</v>
      </c>
      <c r="K582" s="9">
        <f>VLOOKUP($A:$A,Sales!$B:$H,4,FALSE)</f>
        <v>4</v>
      </c>
      <c r="L582" s="5">
        <f t="shared" si="9"/>
        <v>32744</v>
      </c>
    </row>
    <row r="583" spans="1:12" x14ac:dyDescent="0.3">
      <c r="A583">
        <v>1136</v>
      </c>
      <c r="B583">
        <v>2011</v>
      </c>
      <c r="C583">
        <v>3009</v>
      </c>
      <c r="D583" t="str">
        <f>VLOOKUP('Sales table'!$A:$A,Customers!$A:$H,2,FALSE)</f>
        <v>Brooke Oliver</v>
      </c>
      <c r="E583">
        <f>VLOOKUP('Sales table'!$A:$A,Customers!$A:$H,4,FALSE)</f>
        <v>30</v>
      </c>
      <c r="F583" t="str">
        <f>VLOOKUP('Sales table'!$A:$A,Customers!$A:$H,5,FALSE)</f>
        <v>Chennai</v>
      </c>
      <c r="G583" t="str">
        <f>VLOOKUP($B:$B,Products!$A:$D,2,FALSE)</f>
        <v>Festive Thali</v>
      </c>
      <c r="H583" t="str">
        <f>VLOOKUP($B:$B,Products!$A:$D,3,FALSE)</f>
        <v>Other</v>
      </c>
      <c r="I583">
        <f>VLOOKUP($B:$B,Products!$A:$D,4,FALSE)</f>
        <v>7481</v>
      </c>
      <c r="J583" s="4">
        <f>VLOOKUP($A:$A,Sales!$B:$H,6,FALSE)</f>
        <v>45587</v>
      </c>
      <c r="K583" s="9">
        <f>VLOOKUP($A:$A,Sales!$B:$H,4,FALSE)</f>
        <v>4</v>
      </c>
      <c r="L583" s="5">
        <f t="shared" si="9"/>
        <v>29924</v>
      </c>
    </row>
    <row r="584" spans="1:12" x14ac:dyDescent="0.3">
      <c r="A584">
        <v>1012</v>
      </c>
      <c r="B584">
        <v>2001</v>
      </c>
      <c r="C584">
        <v>3026</v>
      </c>
      <c r="D584" t="str">
        <f>VLOOKUP('Sales table'!$A:$A,Customers!$A:$H,2,FALSE)</f>
        <v>John Dunlap</v>
      </c>
      <c r="E584">
        <f>VLOOKUP('Sales table'!$A:$A,Customers!$A:$H,4,FALSE)</f>
        <v>52</v>
      </c>
      <c r="F584" t="str">
        <f>VLOOKUP('Sales table'!$A:$A,Customers!$A:$H,5,FALSE)</f>
        <v>Delhi</v>
      </c>
      <c r="G584" t="str">
        <f>VLOOKUP($B:$B,Products!$A:$D,2,FALSE)</f>
        <v>Sweets Box</v>
      </c>
      <c r="H584" t="str">
        <f>VLOOKUP($B:$B,Products!$A:$D,3,FALSE)</f>
        <v>Sweets &amp; Gifts</v>
      </c>
      <c r="I584">
        <f>VLOOKUP($B:$B,Products!$A:$D,4,FALSE)</f>
        <v>7228</v>
      </c>
      <c r="J584" s="4">
        <f>VLOOKUP($A:$A,Sales!$B:$H,6,FALSE)</f>
        <v>45601</v>
      </c>
      <c r="K584" s="9">
        <f>VLOOKUP($A:$A,Sales!$B:$H,4,FALSE)</f>
        <v>2</v>
      </c>
      <c r="L584" s="5">
        <f t="shared" si="9"/>
        <v>14456</v>
      </c>
    </row>
    <row r="585" spans="1:12" x14ac:dyDescent="0.3">
      <c r="A585">
        <v>1298</v>
      </c>
      <c r="B585">
        <v>2002</v>
      </c>
      <c r="C585">
        <v>3033</v>
      </c>
      <c r="D585" t="str">
        <f>VLOOKUP('Sales table'!$A:$A,Customers!$A:$H,2,FALSE)</f>
        <v>Kim Smith</v>
      </c>
      <c r="E585">
        <f>VLOOKUP('Sales table'!$A:$A,Customers!$A:$H,4,FALSE)</f>
        <v>50</v>
      </c>
      <c r="F585" t="str">
        <f>VLOOKUP('Sales table'!$A:$A,Customers!$A:$H,5,FALSE)</f>
        <v>Chennai</v>
      </c>
      <c r="G585" t="str">
        <f>VLOOKUP($B:$B,Products!$A:$D,2,FALSE)</f>
        <v>Saree</v>
      </c>
      <c r="H585" t="str">
        <f>VLOOKUP($B:$B,Products!$A:$D,3,FALSE)</f>
        <v>Clothing</v>
      </c>
      <c r="I585">
        <f>VLOOKUP($B:$B,Products!$A:$D,4,FALSE)</f>
        <v>9534</v>
      </c>
      <c r="J585" s="4">
        <f>VLOOKUP($A:$A,Sales!$B:$H,6,FALSE)</f>
        <v>45596</v>
      </c>
      <c r="K585" s="9">
        <f>VLOOKUP($A:$A,Sales!$B:$H,4,FALSE)</f>
        <v>3</v>
      </c>
      <c r="L585" s="5">
        <f t="shared" si="9"/>
        <v>28602</v>
      </c>
    </row>
    <row r="586" spans="1:12" x14ac:dyDescent="0.3">
      <c r="A586">
        <v>1095</v>
      </c>
      <c r="B586">
        <v>2008</v>
      </c>
      <c r="C586">
        <v>3004</v>
      </c>
      <c r="D586" t="str">
        <f>VLOOKUP('Sales table'!$A:$A,Customers!$A:$H,2,FALSE)</f>
        <v>Edward Johnson</v>
      </c>
      <c r="E586">
        <f>VLOOKUP('Sales table'!$A:$A,Customers!$A:$H,4,FALSE)</f>
        <v>49</v>
      </c>
      <c r="F586" t="str">
        <f>VLOOKUP('Sales table'!$A:$A,Customers!$A:$H,5,FALSE)</f>
        <v>Kolkata</v>
      </c>
      <c r="G586" t="str">
        <f>VLOOKUP($B:$B,Products!$A:$D,2,FALSE)</f>
        <v>Earthen Diyas</v>
      </c>
      <c r="H586" t="str">
        <f>VLOOKUP($B:$B,Products!$A:$D,3,FALSE)</f>
        <v>Home Decor</v>
      </c>
      <c r="I586">
        <f>VLOOKUP($B:$B,Products!$A:$D,4,FALSE)</f>
        <v>2136</v>
      </c>
      <c r="J586" s="4">
        <f>VLOOKUP($A:$A,Sales!$B:$H,6,FALSE)</f>
        <v>45594</v>
      </c>
      <c r="K586" s="9">
        <f>VLOOKUP($A:$A,Sales!$B:$H,4,FALSE)</f>
        <v>1</v>
      </c>
      <c r="L586" s="5">
        <f t="shared" si="9"/>
        <v>2136</v>
      </c>
    </row>
    <row r="587" spans="1:12" x14ac:dyDescent="0.3">
      <c r="A587">
        <v>1121</v>
      </c>
      <c r="B587">
        <v>2012</v>
      </c>
      <c r="C587">
        <v>3012</v>
      </c>
      <c r="D587" t="str">
        <f>VLOOKUP('Sales table'!$A:$A,Customers!$A:$H,2,FALSE)</f>
        <v>Vincent Fuller</v>
      </c>
      <c r="E587">
        <f>VLOOKUP('Sales table'!$A:$A,Customers!$A:$H,4,FALSE)</f>
        <v>25</v>
      </c>
      <c r="F587" t="str">
        <f>VLOOKUP('Sales table'!$A:$A,Customers!$A:$H,5,FALSE)</f>
        <v>Delhi</v>
      </c>
      <c r="G587" t="str">
        <f>VLOOKUP($B:$B,Products!$A:$D,2,FALSE)</f>
        <v>Wall Hanging</v>
      </c>
      <c r="H587" t="str">
        <f>VLOOKUP($B:$B,Products!$A:$D,3,FALSE)</f>
        <v>Home Decor</v>
      </c>
      <c r="I587">
        <f>VLOOKUP($B:$B,Products!$A:$D,4,FALSE)</f>
        <v>11867</v>
      </c>
      <c r="J587" s="4">
        <f>VLOOKUP($A:$A,Sales!$B:$H,6,FALSE)</f>
        <v>45577</v>
      </c>
      <c r="K587" s="9">
        <f>VLOOKUP($A:$A,Sales!$B:$H,4,FALSE)</f>
        <v>2</v>
      </c>
      <c r="L587" s="5">
        <f t="shared" si="9"/>
        <v>23734</v>
      </c>
    </row>
    <row r="588" spans="1:12" x14ac:dyDescent="0.3">
      <c r="A588">
        <v>1215</v>
      </c>
      <c r="B588">
        <v>2021</v>
      </c>
      <c r="C588">
        <v>3012</v>
      </c>
      <c r="D588" t="str">
        <f>VLOOKUP('Sales table'!$A:$A,Customers!$A:$H,2,FALSE)</f>
        <v>Brent Murphy</v>
      </c>
      <c r="E588">
        <f>VLOOKUP('Sales table'!$A:$A,Customers!$A:$H,4,FALSE)</f>
        <v>57</v>
      </c>
      <c r="F588" t="str">
        <f>VLOOKUP('Sales table'!$A:$A,Customers!$A:$H,5,FALSE)</f>
        <v>Hyderabad</v>
      </c>
      <c r="G588" t="str">
        <f>VLOOKUP($B:$B,Products!$A:$D,2,FALSE)</f>
        <v>Smartwatch</v>
      </c>
      <c r="H588" t="str">
        <f>VLOOKUP($B:$B,Products!$A:$D,3,FALSE)</f>
        <v>Electronics</v>
      </c>
      <c r="I588">
        <f>VLOOKUP($B:$B,Products!$A:$D,4,FALSE)</f>
        <v>17586</v>
      </c>
      <c r="J588" s="4">
        <f>VLOOKUP($A:$A,Sales!$B:$H,6,FALSE)</f>
        <v>45579</v>
      </c>
      <c r="K588" s="9">
        <f>VLOOKUP($A:$A,Sales!$B:$H,4,FALSE)</f>
        <v>2</v>
      </c>
      <c r="L588" s="5">
        <f t="shared" si="9"/>
        <v>35172</v>
      </c>
    </row>
    <row r="589" spans="1:12" x14ac:dyDescent="0.3">
      <c r="A589">
        <v>1281</v>
      </c>
      <c r="B589">
        <v>2017</v>
      </c>
      <c r="C589">
        <v>3021</v>
      </c>
      <c r="D589" t="str">
        <f>VLOOKUP('Sales table'!$A:$A,Customers!$A:$H,2,FALSE)</f>
        <v>Kristen Richards</v>
      </c>
      <c r="E589">
        <f>VLOOKUP('Sales table'!$A:$A,Customers!$A:$H,4,FALSE)</f>
        <v>41</v>
      </c>
      <c r="F589" t="str">
        <f>VLOOKUP('Sales table'!$A:$A,Customers!$A:$H,5,FALSE)</f>
        <v>Mumbai</v>
      </c>
      <c r="G589" t="str">
        <f>VLOOKUP($B:$B,Products!$A:$D,2,FALSE)</f>
        <v>Handmade Pottery</v>
      </c>
      <c r="H589" t="str">
        <f>VLOOKUP($B:$B,Products!$A:$D,3,FALSE)</f>
        <v>Home Decor</v>
      </c>
      <c r="I589">
        <f>VLOOKUP($B:$B,Products!$A:$D,4,FALSE)</f>
        <v>8186</v>
      </c>
      <c r="J589" s="4">
        <f>VLOOKUP($A:$A,Sales!$B:$H,6,FALSE)</f>
        <v>45616</v>
      </c>
      <c r="K589" s="9">
        <f>VLOOKUP($A:$A,Sales!$B:$H,4,FALSE)</f>
        <v>5</v>
      </c>
      <c r="L589" s="5">
        <f t="shared" si="9"/>
        <v>40930</v>
      </c>
    </row>
    <row r="590" spans="1:12" x14ac:dyDescent="0.3">
      <c r="A590">
        <v>1017</v>
      </c>
      <c r="B590">
        <v>2011</v>
      </c>
      <c r="C590">
        <v>3014</v>
      </c>
      <c r="D590" t="str">
        <f>VLOOKUP('Sales table'!$A:$A,Customers!$A:$H,2,FALSE)</f>
        <v>Sandra Hamilton</v>
      </c>
      <c r="E590">
        <f>VLOOKUP('Sales table'!$A:$A,Customers!$A:$H,4,FALSE)</f>
        <v>39</v>
      </c>
      <c r="F590" t="str">
        <f>VLOOKUP('Sales table'!$A:$A,Customers!$A:$H,5,FALSE)</f>
        <v>Kolkata</v>
      </c>
      <c r="G590" t="str">
        <f>VLOOKUP($B:$B,Products!$A:$D,2,FALSE)</f>
        <v>Festive Thali</v>
      </c>
      <c r="H590" t="str">
        <f>VLOOKUP($B:$B,Products!$A:$D,3,FALSE)</f>
        <v>Other</v>
      </c>
      <c r="I590">
        <f>VLOOKUP($B:$B,Products!$A:$D,4,FALSE)</f>
        <v>7481</v>
      </c>
      <c r="J590" s="4">
        <f>VLOOKUP($A:$A,Sales!$B:$H,6,FALSE)</f>
        <v>45603</v>
      </c>
      <c r="K590" s="9">
        <f>VLOOKUP($A:$A,Sales!$B:$H,4,FALSE)</f>
        <v>2</v>
      </c>
      <c r="L590" s="5">
        <f t="shared" si="9"/>
        <v>14962</v>
      </c>
    </row>
    <row r="591" spans="1:12" x14ac:dyDescent="0.3">
      <c r="A591">
        <v>1270</v>
      </c>
      <c r="B591">
        <v>2019</v>
      </c>
      <c r="C591">
        <v>3007</v>
      </c>
      <c r="D591" t="str">
        <f>VLOOKUP('Sales table'!$A:$A,Customers!$A:$H,2,FALSE)</f>
        <v>Keith Diaz</v>
      </c>
      <c r="E591">
        <f>VLOOKUP('Sales table'!$A:$A,Customers!$A:$H,4,FALSE)</f>
        <v>45</v>
      </c>
      <c r="F591" t="str">
        <f>VLOOKUP('Sales table'!$A:$A,Customers!$A:$H,5,FALSE)</f>
        <v>Pune</v>
      </c>
      <c r="G591" t="str">
        <f>VLOOKUP($B:$B,Products!$A:$D,2,FALSE)</f>
        <v>Designer Kurti</v>
      </c>
      <c r="H591" t="str">
        <f>VLOOKUP($B:$B,Products!$A:$D,3,FALSE)</f>
        <v>Clothing</v>
      </c>
      <c r="I591">
        <f>VLOOKUP($B:$B,Products!$A:$D,4,FALSE)</f>
        <v>13620</v>
      </c>
      <c r="J591" s="4">
        <f>VLOOKUP($A:$A,Sales!$B:$H,6,FALSE)</f>
        <v>45575</v>
      </c>
      <c r="K591" s="9">
        <f>VLOOKUP($A:$A,Sales!$B:$H,4,FALSE)</f>
        <v>2</v>
      </c>
      <c r="L591" s="5">
        <f t="shared" si="9"/>
        <v>27240</v>
      </c>
    </row>
    <row r="592" spans="1:12" x14ac:dyDescent="0.3">
      <c r="A592">
        <v>1196</v>
      </c>
      <c r="B592">
        <v>2010</v>
      </c>
      <c r="C592">
        <v>3013</v>
      </c>
      <c r="D592" t="str">
        <f>VLOOKUP('Sales table'!$A:$A,Customers!$A:$H,2,FALSE)</f>
        <v>Cynthia Martin</v>
      </c>
      <c r="E592">
        <f>VLOOKUP('Sales table'!$A:$A,Customers!$A:$H,4,FALSE)</f>
        <v>20</v>
      </c>
      <c r="F592" t="str">
        <f>VLOOKUP('Sales table'!$A:$A,Customers!$A:$H,5,FALSE)</f>
        <v>Hyderabad</v>
      </c>
      <c r="G592" t="str">
        <f>VLOOKUP($B:$B,Products!$A:$D,2,FALSE)</f>
        <v>Chocolate Box</v>
      </c>
      <c r="H592" t="str">
        <f>VLOOKUP($B:$B,Products!$A:$D,3,FALSE)</f>
        <v>Sweets &amp; Gifts</v>
      </c>
      <c r="I592">
        <f>VLOOKUP($B:$B,Products!$A:$D,4,FALSE)</f>
        <v>17909</v>
      </c>
      <c r="J592" s="4">
        <f>VLOOKUP($A:$A,Sales!$B:$H,6,FALSE)</f>
        <v>45611</v>
      </c>
      <c r="K592" s="9">
        <f>VLOOKUP($A:$A,Sales!$B:$H,4,FALSE)</f>
        <v>2</v>
      </c>
      <c r="L592" s="5">
        <f t="shared" si="9"/>
        <v>35818</v>
      </c>
    </row>
    <row r="593" spans="1:12" x14ac:dyDescent="0.3">
      <c r="A593">
        <v>1025</v>
      </c>
      <c r="B593">
        <v>2004</v>
      </c>
      <c r="C593">
        <v>3035</v>
      </c>
      <c r="D593" t="str">
        <f>VLOOKUP('Sales table'!$A:$A,Customers!$A:$H,2,FALSE)</f>
        <v>Susan Wheeler</v>
      </c>
      <c r="E593">
        <f>VLOOKUP('Sales table'!$A:$A,Customers!$A:$H,4,FALSE)</f>
        <v>36</v>
      </c>
      <c r="F593" t="str">
        <f>VLOOKUP('Sales table'!$A:$A,Customers!$A:$H,5,FALSE)</f>
        <v>Kolkata</v>
      </c>
      <c r="G593" t="str">
        <f>VLOOKUP($B:$B,Products!$A:$D,2,FALSE)</f>
        <v>Smartphone</v>
      </c>
      <c r="H593" t="str">
        <f>VLOOKUP($B:$B,Products!$A:$D,3,FALSE)</f>
        <v>Electronics</v>
      </c>
      <c r="I593">
        <f>VLOOKUP($B:$B,Products!$A:$D,4,FALSE)</f>
        <v>4952</v>
      </c>
      <c r="J593" s="4">
        <f>VLOOKUP($A:$A,Sales!$B:$H,6,FALSE)</f>
        <v>45591</v>
      </c>
      <c r="K593" s="9">
        <f>VLOOKUP($A:$A,Sales!$B:$H,4,FALSE)</f>
        <v>2</v>
      </c>
      <c r="L593" s="5">
        <f t="shared" si="9"/>
        <v>9904</v>
      </c>
    </row>
    <row r="594" spans="1:12" x14ac:dyDescent="0.3">
      <c r="A594">
        <v>1255</v>
      </c>
      <c r="B594">
        <v>2001</v>
      </c>
      <c r="C594">
        <v>3009</v>
      </c>
      <c r="D594" t="str">
        <f>VLOOKUP('Sales table'!$A:$A,Customers!$A:$H,2,FALSE)</f>
        <v>Sarah Day</v>
      </c>
      <c r="E594">
        <f>VLOOKUP('Sales table'!$A:$A,Customers!$A:$H,4,FALSE)</f>
        <v>48</v>
      </c>
      <c r="F594" t="str">
        <f>VLOOKUP('Sales table'!$A:$A,Customers!$A:$H,5,FALSE)</f>
        <v>Mumbai</v>
      </c>
      <c r="G594" t="str">
        <f>VLOOKUP($B:$B,Products!$A:$D,2,FALSE)</f>
        <v>Sweets Box</v>
      </c>
      <c r="H594" t="str">
        <f>VLOOKUP($B:$B,Products!$A:$D,3,FALSE)</f>
        <v>Sweets &amp; Gifts</v>
      </c>
      <c r="I594">
        <f>VLOOKUP($B:$B,Products!$A:$D,4,FALSE)</f>
        <v>7228</v>
      </c>
      <c r="J594" s="4">
        <f>VLOOKUP($A:$A,Sales!$B:$H,6,FALSE)</f>
        <v>45587</v>
      </c>
      <c r="K594" s="9">
        <f>VLOOKUP($A:$A,Sales!$B:$H,4,FALSE)</f>
        <v>4</v>
      </c>
      <c r="L594" s="5">
        <f t="shared" si="9"/>
        <v>28912</v>
      </c>
    </row>
    <row r="595" spans="1:12" x14ac:dyDescent="0.3">
      <c r="A595">
        <v>1238</v>
      </c>
      <c r="B595">
        <v>2019</v>
      </c>
      <c r="C595">
        <v>3022</v>
      </c>
      <c r="D595" t="str">
        <f>VLOOKUP('Sales table'!$A:$A,Customers!$A:$H,2,FALSE)</f>
        <v>Steven Hogan</v>
      </c>
      <c r="E595">
        <f>VLOOKUP('Sales table'!$A:$A,Customers!$A:$H,4,FALSE)</f>
        <v>46</v>
      </c>
      <c r="F595" t="str">
        <f>VLOOKUP('Sales table'!$A:$A,Customers!$A:$H,5,FALSE)</f>
        <v>Chennai</v>
      </c>
      <c r="G595" t="str">
        <f>VLOOKUP($B:$B,Products!$A:$D,2,FALSE)</f>
        <v>Designer Kurti</v>
      </c>
      <c r="H595" t="str">
        <f>VLOOKUP($B:$B,Products!$A:$D,3,FALSE)</f>
        <v>Clothing</v>
      </c>
      <c r="I595">
        <f>VLOOKUP($B:$B,Products!$A:$D,4,FALSE)</f>
        <v>13620</v>
      </c>
      <c r="J595" s="4">
        <f>VLOOKUP($A:$A,Sales!$B:$H,6,FALSE)</f>
        <v>45602</v>
      </c>
      <c r="K595" s="9">
        <f>VLOOKUP($A:$A,Sales!$B:$H,4,FALSE)</f>
        <v>3</v>
      </c>
      <c r="L595" s="5">
        <f t="shared" si="9"/>
        <v>40860</v>
      </c>
    </row>
    <row r="596" spans="1:12" x14ac:dyDescent="0.3">
      <c r="A596">
        <v>1244</v>
      </c>
      <c r="B596">
        <v>2022</v>
      </c>
      <c r="C596">
        <v>3018</v>
      </c>
      <c r="D596" t="str">
        <f>VLOOKUP('Sales table'!$A:$A,Customers!$A:$H,2,FALSE)</f>
        <v>Leonard Kim</v>
      </c>
      <c r="E596">
        <f>VLOOKUP('Sales table'!$A:$A,Customers!$A:$H,4,FALSE)</f>
        <v>18</v>
      </c>
      <c r="F596" t="str">
        <f>VLOOKUP('Sales table'!$A:$A,Customers!$A:$H,5,FALSE)</f>
        <v>Hyderabad</v>
      </c>
      <c r="G596" t="str">
        <f>VLOOKUP($B:$B,Products!$A:$D,2,FALSE)</f>
        <v>Home Decor Statue</v>
      </c>
      <c r="H596" t="str">
        <f>VLOOKUP($B:$B,Products!$A:$D,3,FALSE)</f>
        <v>Home Decor</v>
      </c>
      <c r="I596">
        <f>VLOOKUP($B:$B,Products!$A:$D,4,FALSE)</f>
        <v>17149</v>
      </c>
      <c r="J596" s="4">
        <f>VLOOKUP($A:$A,Sales!$B:$H,6,FALSE)</f>
        <v>45589</v>
      </c>
      <c r="K596" s="9">
        <f>VLOOKUP($A:$A,Sales!$B:$H,4,FALSE)</f>
        <v>1</v>
      </c>
      <c r="L596" s="5">
        <f t="shared" si="9"/>
        <v>17149</v>
      </c>
    </row>
    <row r="597" spans="1:12" x14ac:dyDescent="0.3">
      <c r="A597">
        <v>1121</v>
      </c>
      <c r="B597">
        <v>2018</v>
      </c>
      <c r="C597">
        <v>3029</v>
      </c>
      <c r="D597" t="str">
        <f>VLOOKUP('Sales table'!$A:$A,Customers!$A:$H,2,FALSE)</f>
        <v>Vincent Fuller</v>
      </c>
      <c r="E597">
        <f>VLOOKUP('Sales table'!$A:$A,Customers!$A:$H,4,FALSE)</f>
        <v>25</v>
      </c>
      <c r="F597" t="str">
        <f>VLOOKUP('Sales table'!$A:$A,Customers!$A:$H,5,FALSE)</f>
        <v>Delhi</v>
      </c>
      <c r="G597" t="str">
        <f>VLOOKUP($B:$B,Products!$A:$D,2,FALSE)</f>
        <v>Dry Fruits Pack</v>
      </c>
      <c r="H597" t="str">
        <f>VLOOKUP($B:$B,Products!$A:$D,3,FALSE)</f>
        <v>Sweets &amp; Gifts</v>
      </c>
      <c r="I597">
        <f>VLOOKUP($B:$B,Products!$A:$D,4,FALSE)</f>
        <v>7243</v>
      </c>
      <c r="J597" s="4">
        <f>VLOOKUP($A:$A,Sales!$B:$H,6,FALSE)</f>
        <v>45577</v>
      </c>
      <c r="K597" s="9">
        <f>VLOOKUP($A:$A,Sales!$B:$H,4,FALSE)</f>
        <v>2</v>
      </c>
      <c r="L597" s="5">
        <f t="shared" si="9"/>
        <v>14486</v>
      </c>
    </row>
    <row r="598" spans="1:12" x14ac:dyDescent="0.3">
      <c r="A598">
        <v>1201</v>
      </c>
      <c r="B598">
        <v>2014</v>
      </c>
      <c r="C598">
        <v>3025</v>
      </c>
      <c r="D598" t="str">
        <f>VLOOKUP('Sales table'!$A:$A,Customers!$A:$H,2,FALSE)</f>
        <v>Chelsea Wade</v>
      </c>
      <c r="E598">
        <f>VLOOKUP('Sales table'!$A:$A,Customers!$A:$H,4,FALSE)</f>
        <v>34</v>
      </c>
      <c r="F598" t="str">
        <f>VLOOKUP('Sales table'!$A:$A,Customers!$A:$H,5,FALSE)</f>
        <v>Kolkata</v>
      </c>
      <c r="G598" t="str">
        <f>VLOOKUP($B:$B,Products!$A:$D,2,FALSE)</f>
        <v>Gold Coin</v>
      </c>
      <c r="H598" t="str">
        <f>VLOOKUP($B:$B,Products!$A:$D,3,FALSE)</f>
        <v>Precious Items</v>
      </c>
      <c r="I598">
        <f>VLOOKUP($B:$B,Products!$A:$D,4,FALSE)</f>
        <v>13823</v>
      </c>
      <c r="J598" s="4">
        <f>VLOOKUP($A:$A,Sales!$B:$H,6,FALSE)</f>
        <v>45600</v>
      </c>
      <c r="K598" s="9">
        <f>VLOOKUP($A:$A,Sales!$B:$H,4,FALSE)</f>
        <v>5</v>
      </c>
      <c r="L598" s="5">
        <f t="shared" si="9"/>
        <v>69115</v>
      </c>
    </row>
    <row r="599" spans="1:12" x14ac:dyDescent="0.3">
      <c r="A599">
        <v>1060</v>
      </c>
      <c r="B599">
        <v>2002</v>
      </c>
      <c r="C599">
        <v>3015</v>
      </c>
      <c r="D599" t="str">
        <f>VLOOKUP('Sales table'!$A:$A,Customers!$A:$H,2,FALSE)</f>
        <v>Kayla Aguilar</v>
      </c>
      <c r="E599">
        <f>VLOOKUP('Sales table'!$A:$A,Customers!$A:$H,4,FALSE)</f>
        <v>27</v>
      </c>
      <c r="F599" t="str">
        <f>VLOOKUP('Sales table'!$A:$A,Customers!$A:$H,5,FALSE)</f>
        <v>Hyderabad</v>
      </c>
      <c r="G599" t="str">
        <f>VLOOKUP($B:$B,Products!$A:$D,2,FALSE)</f>
        <v>Saree</v>
      </c>
      <c r="H599" t="str">
        <f>VLOOKUP($B:$B,Products!$A:$D,3,FALSE)</f>
        <v>Clothing</v>
      </c>
      <c r="I599">
        <f>VLOOKUP($B:$B,Products!$A:$D,4,FALSE)</f>
        <v>9534</v>
      </c>
      <c r="J599" s="4">
        <f>VLOOKUP($A:$A,Sales!$B:$H,6,FALSE)</f>
        <v>45585</v>
      </c>
      <c r="K599" s="9">
        <f>VLOOKUP($A:$A,Sales!$B:$H,4,FALSE)</f>
        <v>5</v>
      </c>
      <c r="L599" s="5">
        <f t="shared" si="9"/>
        <v>47670</v>
      </c>
    </row>
    <row r="600" spans="1:12" x14ac:dyDescent="0.3">
      <c r="A600">
        <v>1201</v>
      </c>
      <c r="B600">
        <v>2014</v>
      </c>
      <c r="C600">
        <v>3035</v>
      </c>
      <c r="D600" t="str">
        <f>VLOOKUP('Sales table'!$A:$A,Customers!$A:$H,2,FALSE)</f>
        <v>Chelsea Wade</v>
      </c>
      <c r="E600">
        <f>VLOOKUP('Sales table'!$A:$A,Customers!$A:$H,4,FALSE)</f>
        <v>34</v>
      </c>
      <c r="F600" t="str">
        <f>VLOOKUP('Sales table'!$A:$A,Customers!$A:$H,5,FALSE)</f>
        <v>Kolkata</v>
      </c>
      <c r="G600" t="str">
        <f>VLOOKUP($B:$B,Products!$A:$D,2,FALSE)</f>
        <v>Gold Coin</v>
      </c>
      <c r="H600" t="str">
        <f>VLOOKUP($B:$B,Products!$A:$D,3,FALSE)</f>
        <v>Precious Items</v>
      </c>
      <c r="I600">
        <f>VLOOKUP($B:$B,Products!$A:$D,4,FALSE)</f>
        <v>13823</v>
      </c>
      <c r="J600" s="4">
        <f>VLOOKUP($A:$A,Sales!$B:$H,6,FALSE)</f>
        <v>45600</v>
      </c>
      <c r="K600" s="9">
        <f>VLOOKUP($A:$A,Sales!$B:$H,4,FALSE)</f>
        <v>5</v>
      </c>
      <c r="L600" s="5">
        <f t="shared" si="9"/>
        <v>69115</v>
      </c>
    </row>
    <row r="601" spans="1:12" x14ac:dyDescent="0.3">
      <c r="A601">
        <v>1225</v>
      </c>
      <c r="B601">
        <v>2006</v>
      </c>
      <c r="C601">
        <v>3016</v>
      </c>
      <c r="D601" t="str">
        <f>VLOOKUP('Sales table'!$A:$A,Customers!$A:$H,2,FALSE)</f>
        <v>Robert Perez</v>
      </c>
      <c r="E601">
        <f>VLOOKUP('Sales table'!$A:$A,Customers!$A:$H,4,FALSE)</f>
        <v>39</v>
      </c>
      <c r="F601" t="str">
        <f>VLOOKUP('Sales table'!$A:$A,Customers!$A:$H,5,FALSE)</f>
        <v>Chennai</v>
      </c>
      <c r="G601" t="str">
        <f>VLOOKUP($B:$B,Products!$A:$D,2,FALSE)</f>
        <v>Crackers Pack</v>
      </c>
      <c r="H601" t="str">
        <f>VLOOKUP($B:$B,Products!$A:$D,3,FALSE)</f>
        <v>Crackers</v>
      </c>
      <c r="I601">
        <f>VLOOKUP($B:$B,Products!$A:$D,4,FALSE)</f>
        <v>12060</v>
      </c>
      <c r="J601" s="4">
        <f>VLOOKUP($A:$A,Sales!$B:$H,6,FALSE)</f>
        <v>45578</v>
      </c>
      <c r="K601" s="9">
        <f>VLOOKUP($A:$A,Sales!$B:$H,4,FALSE)</f>
        <v>5</v>
      </c>
      <c r="L601" s="5">
        <f t="shared" si="9"/>
        <v>60300</v>
      </c>
    </row>
    <row r="602" spans="1:12" x14ac:dyDescent="0.3">
      <c r="A602">
        <v>1119</v>
      </c>
      <c r="B602">
        <v>2001</v>
      </c>
      <c r="C602">
        <v>3025</v>
      </c>
      <c r="D602" t="str">
        <f>VLOOKUP('Sales table'!$A:$A,Customers!$A:$H,2,FALSE)</f>
        <v>Javier Calderon</v>
      </c>
      <c r="E602">
        <f>VLOOKUP('Sales table'!$A:$A,Customers!$A:$H,4,FALSE)</f>
        <v>45</v>
      </c>
      <c r="F602" t="str">
        <f>VLOOKUP('Sales table'!$A:$A,Customers!$A:$H,5,FALSE)</f>
        <v>Delhi</v>
      </c>
      <c r="G602" t="str">
        <f>VLOOKUP($B:$B,Products!$A:$D,2,FALSE)</f>
        <v>Sweets Box</v>
      </c>
      <c r="H602" t="str">
        <f>VLOOKUP($B:$B,Products!$A:$D,3,FALSE)</f>
        <v>Sweets &amp; Gifts</v>
      </c>
      <c r="I602">
        <f>VLOOKUP($B:$B,Products!$A:$D,4,FALSE)</f>
        <v>7228</v>
      </c>
      <c r="J602" s="4">
        <f>VLOOKUP($A:$A,Sales!$B:$H,6,FALSE)</f>
        <v>45615</v>
      </c>
      <c r="K602" s="9">
        <f>VLOOKUP($A:$A,Sales!$B:$H,4,FALSE)</f>
        <v>4</v>
      </c>
      <c r="L602" s="5">
        <f t="shared" si="9"/>
        <v>28912</v>
      </c>
    </row>
    <row r="603" spans="1:12" x14ac:dyDescent="0.3">
      <c r="A603">
        <v>1167</v>
      </c>
      <c r="B603">
        <v>2020</v>
      </c>
      <c r="C603">
        <v>3025</v>
      </c>
      <c r="D603" t="str">
        <f>VLOOKUP('Sales table'!$A:$A,Customers!$A:$H,2,FALSE)</f>
        <v>Tracy Hernandez</v>
      </c>
      <c r="E603">
        <f>VLOOKUP('Sales table'!$A:$A,Customers!$A:$H,4,FALSE)</f>
        <v>65</v>
      </c>
      <c r="F603" t="str">
        <f>VLOOKUP('Sales table'!$A:$A,Customers!$A:$H,5,FALSE)</f>
        <v>Bangalore</v>
      </c>
      <c r="G603" t="str">
        <f>VLOOKUP($B:$B,Products!$A:$D,2,FALSE)</f>
        <v>Ethnic Jewelry</v>
      </c>
      <c r="H603" t="str">
        <f>VLOOKUP($B:$B,Products!$A:$D,3,FALSE)</f>
        <v>Precious Items</v>
      </c>
      <c r="I603">
        <f>VLOOKUP($B:$B,Products!$A:$D,4,FALSE)</f>
        <v>4495</v>
      </c>
      <c r="J603" s="4">
        <f>VLOOKUP($A:$A,Sales!$B:$H,6,FALSE)</f>
        <v>45602</v>
      </c>
      <c r="K603" s="9">
        <f>VLOOKUP($A:$A,Sales!$B:$H,4,FALSE)</f>
        <v>3</v>
      </c>
      <c r="L603" s="5">
        <f t="shared" si="9"/>
        <v>13485</v>
      </c>
    </row>
    <row r="604" spans="1:12" x14ac:dyDescent="0.3">
      <c r="A604">
        <v>1026</v>
      </c>
      <c r="B604">
        <v>2005</v>
      </c>
      <c r="C604">
        <v>3015</v>
      </c>
      <c r="D604" t="str">
        <f>VLOOKUP('Sales table'!$A:$A,Customers!$A:$H,2,FALSE)</f>
        <v>Joshua Clark</v>
      </c>
      <c r="E604">
        <f>VLOOKUP('Sales table'!$A:$A,Customers!$A:$H,4,FALSE)</f>
        <v>46</v>
      </c>
      <c r="F604" t="str">
        <f>VLOOKUP('Sales table'!$A:$A,Customers!$A:$H,5,FALSE)</f>
        <v>Mumbai</v>
      </c>
      <c r="G604" t="str">
        <f>VLOOKUP($B:$B,Products!$A:$D,2,FALSE)</f>
        <v>LED Lamp</v>
      </c>
      <c r="H604" t="str">
        <f>VLOOKUP($B:$B,Products!$A:$D,3,FALSE)</f>
        <v>Home Decor</v>
      </c>
      <c r="I604">
        <f>VLOOKUP($B:$B,Products!$A:$D,4,FALSE)</f>
        <v>3828</v>
      </c>
      <c r="J604" s="4">
        <f>VLOOKUP($A:$A,Sales!$B:$H,6,FALSE)</f>
        <v>45611</v>
      </c>
      <c r="K604" s="9">
        <f>VLOOKUP($A:$A,Sales!$B:$H,4,FALSE)</f>
        <v>1</v>
      </c>
      <c r="L604" s="5">
        <f t="shared" si="9"/>
        <v>3828</v>
      </c>
    </row>
    <row r="605" spans="1:12" x14ac:dyDescent="0.3">
      <c r="A605">
        <v>1082</v>
      </c>
      <c r="B605">
        <v>2010</v>
      </c>
      <c r="C605">
        <v>3021</v>
      </c>
      <c r="D605" t="str">
        <f>VLOOKUP('Sales table'!$A:$A,Customers!$A:$H,2,FALSE)</f>
        <v>Sharon Phillips</v>
      </c>
      <c r="E605">
        <f>VLOOKUP('Sales table'!$A:$A,Customers!$A:$H,4,FALSE)</f>
        <v>43</v>
      </c>
      <c r="F605" t="str">
        <f>VLOOKUP('Sales table'!$A:$A,Customers!$A:$H,5,FALSE)</f>
        <v>Bangalore</v>
      </c>
      <c r="G605" t="str">
        <f>VLOOKUP($B:$B,Products!$A:$D,2,FALSE)</f>
        <v>Chocolate Box</v>
      </c>
      <c r="H605" t="str">
        <f>VLOOKUP($B:$B,Products!$A:$D,3,FALSE)</f>
        <v>Sweets &amp; Gifts</v>
      </c>
      <c r="I605">
        <f>VLOOKUP($B:$B,Products!$A:$D,4,FALSE)</f>
        <v>17909</v>
      </c>
      <c r="J605" s="4">
        <f>VLOOKUP($A:$A,Sales!$B:$H,6,FALSE)</f>
        <v>45613</v>
      </c>
      <c r="K605" s="9">
        <f>VLOOKUP($A:$A,Sales!$B:$H,4,FALSE)</f>
        <v>5</v>
      </c>
      <c r="L605" s="5">
        <f t="shared" si="9"/>
        <v>89545</v>
      </c>
    </row>
    <row r="606" spans="1:12" x14ac:dyDescent="0.3">
      <c r="A606">
        <v>1185</v>
      </c>
      <c r="B606">
        <v>2007</v>
      </c>
      <c r="C606">
        <v>3003</v>
      </c>
      <c r="D606" t="str">
        <f>VLOOKUP('Sales table'!$A:$A,Customers!$A:$H,2,FALSE)</f>
        <v>Patrick Osborn</v>
      </c>
      <c r="E606">
        <f>VLOOKUP('Sales table'!$A:$A,Customers!$A:$H,4,FALSE)</f>
        <v>52</v>
      </c>
      <c r="F606" t="str">
        <f>VLOOKUP('Sales table'!$A:$A,Customers!$A:$H,5,FALSE)</f>
        <v>Mumbai</v>
      </c>
      <c r="G606" t="str">
        <f>VLOOKUP($B:$B,Products!$A:$D,2,FALSE)</f>
        <v>Gift Hamper</v>
      </c>
      <c r="H606" t="str">
        <f>VLOOKUP($B:$B,Products!$A:$D,3,FALSE)</f>
        <v>Sweets &amp; Gifts</v>
      </c>
      <c r="I606">
        <f>VLOOKUP($B:$B,Products!$A:$D,4,FALSE)</f>
        <v>3412</v>
      </c>
      <c r="J606" s="4">
        <f>VLOOKUP($A:$A,Sales!$B:$H,6,FALSE)</f>
        <v>45597</v>
      </c>
      <c r="K606" s="9">
        <f>VLOOKUP($A:$A,Sales!$B:$H,4,FALSE)</f>
        <v>4</v>
      </c>
      <c r="L606" s="5">
        <f t="shared" si="9"/>
        <v>13648</v>
      </c>
    </row>
    <row r="607" spans="1:12" x14ac:dyDescent="0.3">
      <c r="A607">
        <v>1156</v>
      </c>
      <c r="B607">
        <v>2007</v>
      </c>
      <c r="C607">
        <v>3013</v>
      </c>
      <c r="D607" t="str">
        <f>VLOOKUP('Sales table'!$A:$A,Customers!$A:$H,2,FALSE)</f>
        <v>Matthew Frazier</v>
      </c>
      <c r="E607">
        <f>VLOOKUP('Sales table'!$A:$A,Customers!$A:$H,4,FALSE)</f>
        <v>65</v>
      </c>
      <c r="F607" t="str">
        <f>VLOOKUP('Sales table'!$A:$A,Customers!$A:$H,5,FALSE)</f>
        <v>Bangalore</v>
      </c>
      <c r="G607" t="str">
        <f>VLOOKUP($B:$B,Products!$A:$D,2,FALSE)</f>
        <v>Gift Hamper</v>
      </c>
      <c r="H607" t="str">
        <f>VLOOKUP($B:$B,Products!$A:$D,3,FALSE)</f>
        <v>Sweets &amp; Gifts</v>
      </c>
      <c r="I607">
        <f>VLOOKUP($B:$B,Products!$A:$D,4,FALSE)</f>
        <v>3412</v>
      </c>
      <c r="J607" s="4">
        <f>VLOOKUP($A:$A,Sales!$B:$H,6,FALSE)</f>
        <v>45596</v>
      </c>
      <c r="K607" s="9">
        <f>VLOOKUP($A:$A,Sales!$B:$H,4,FALSE)</f>
        <v>1</v>
      </c>
      <c r="L607" s="5">
        <f t="shared" si="9"/>
        <v>3412</v>
      </c>
    </row>
    <row r="608" spans="1:12" x14ac:dyDescent="0.3">
      <c r="A608">
        <v>1242</v>
      </c>
      <c r="B608">
        <v>2019</v>
      </c>
      <c r="C608">
        <v>3015</v>
      </c>
      <c r="D608" t="str">
        <f>VLOOKUP('Sales table'!$A:$A,Customers!$A:$H,2,FALSE)</f>
        <v>Julie Gonzalez</v>
      </c>
      <c r="E608">
        <f>VLOOKUP('Sales table'!$A:$A,Customers!$A:$H,4,FALSE)</f>
        <v>23</v>
      </c>
      <c r="F608" t="str">
        <f>VLOOKUP('Sales table'!$A:$A,Customers!$A:$H,5,FALSE)</f>
        <v>Mumbai</v>
      </c>
      <c r="G608" t="str">
        <f>VLOOKUP($B:$B,Products!$A:$D,2,FALSE)</f>
        <v>Designer Kurti</v>
      </c>
      <c r="H608" t="str">
        <f>VLOOKUP($B:$B,Products!$A:$D,3,FALSE)</f>
        <v>Clothing</v>
      </c>
      <c r="I608">
        <f>VLOOKUP($B:$B,Products!$A:$D,4,FALSE)</f>
        <v>13620</v>
      </c>
      <c r="J608" s="4">
        <f>VLOOKUP($A:$A,Sales!$B:$H,6,FALSE)</f>
        <v>45577</v>
      </c>
      <c r="K608" s="9">
        <f>VLOOKUP($A:$A,Sales!$B:$H,4,FALSE)</f>
        <v>5</v>
      </c>
      <c r="L608" s="5">
        <f t="shared" si="9"/>
        <v>68100</v>
      </c>
    </row>
    <row r="609" spans="1:12" x14ac:dyDescent="0.3">
      <c r="A609">
        <v>1177</v>
      </c>
      <c r="B609">
        <v>2004</v>
      </c>
      <c r="C609">
        <v>3013</v>
      </c>
      <c r="D609" t="str">
        <f>VLOOKUP('Sales table'!$A:$A,Customers!$A:$H,2,FALSE)</f>
        <v>Elizabeth Bryant</v>
      </c>
      <c r="E609">
        <f>VLOOKUP('Sales table'!$A:$A,Customers!$A:$H,4,FALSE)</f>
        <v>44</v>
      </c>
      <c r="F609" t="str">
        <f>VLOOKUP('Sales table'!$A:$A,Customers!$A:$H,5,FALSE)</f>
        <v>Chennai</v>
      </c>
      <c r="G609" t="str">
        <f>VLOOKUP($B:$B,Products!$A:$D,2,FALSE)</f>
        <v>Smartphone</v>
      </c>
      <c r="H609" t="str">
        <f>VLOOKUP($B:$B,Products!$A:$D,3,FALSE)</f>
        <v>Electronics</v>
      </c>
      <c r="I609">
        <f>VLOOKUP($B:$B,Products!$A:$D,4,FALSE)</f>
        <v>4952</v>
      </c>
      <c r="J609" s="4">
        <f>VLOOKUP($A:$A,Sales!$B:$H,6,FALSE)</f>
        <v>45597</v>
      </c>
      <c r="K609" s="9">
        <f>VLOOKUP($A:$A,Sales!$B:$H,4,FALSE)</f>
        <v>3</v>
      </c>
      <c r="L609" s="5">
        <f t="shared" si="9"/>
        <v>14856</v>
      </c>
    </row>
    <row r="610" spans="1:12" x14ac:dyDescent="0.3">
      <c r="A610">
        <v>1031</v>
      </c>
      <c r="B610">
        <v>2007</v>
      </c>
      <c r="C610">
        <v>3022</v>
      </c>
      <c r="D610" t="str">
        <f>VLOOKUP('Sales table'!$A:$A,Customers!$A:$H,2,FALSE)</f>
        <v>William Smith</v>
      </c>
      <c r="E610">
        <f>VLOOKUP('Sales table'!$A:$A,Customers!$A:$H,4,FALSE)</f>
        <v>46</v>
      </c>
      <c r="F610" t="str">
        <f>VLOOKUP('Sales table'!$A:$A,Customers!$A:$H,5,FALSE)</f>
        <v>Hyderabad</v>
      </c>
      <c r="G610" t="str">
        <f>VLOOKUP($B:$B,Products!$A:$D,2,FALSE)</f>
        <v>Gift Hamper</v>
      </c>
      <c r="H610" t="str">
        <f>VLOOKUP($B:$B,Products!$A:$D,3,FALSE)</f>
        <v>Sweets &amp; Gifts</v>
      </c>
      <c r="I610">
        <f>VLOOKUP($B:$B,Products!$A:$D,4,FALSE)</f>
        <v>3412</v>
      </c>
      <c r="J610" s="4">
        <f>VLOOKUP($A:$A,Sales!$B:$H,6,FALSE)</f>
        <v>45612</v>
      </c>
      <c r="K610" s="9">
        <f>VLOOKUP($A:$A,Sales!$B:$H,4,FALSE)</f>
        <v>1</v>
      </c>
      <c r="L610" s="5">
        <f t="shared" si="9"/>
        <v>3412</v>
      </c>
    </row>
    <row r="611" spans="1:12" x14ac:dyDescent="0.3">
      <c r="A611">
        <v>1139</v>
      </c>
      <c r="B611">
        <v>2021</v>
      </c>
      <c r="C611">
        <v>3006</v>
      </c>
      <c r="D611" t="str">
        <f>VLOOKUP('Sales table'!$A:$A,Customers!$A:$H,2,FALSE)</f>
        <v>Jeremy Barnes</v>
      </c>
      <c r="E611">
        <f>VLOOKUP('Sales table'!$A:$A,Customers!$A:$H,4,FALSE)</f>
        <v>46</v>
      </c>
      <c r="F611" t="str">
        <f>VLOOKUP('Sales table'!$A:$A,Customers!$A:$H,5,FALSE)</f>
        <v>Delhi</v>
      </c>
      <c r="G611" t="str">
        <f>VLOOKUP($B:$B,Products!$A:$D,2,FALSE)</f>
        <v>Smartwatch</v>
      </c>
      <c r="H611" t="str">
        <f>VLOOKUP($B:$B,Products!$A:$D,3,FALSE)</f>
        <v>Electronics</v>
      </c>
      <c r="I611">
        <f>VLOOKUP($B:$B,Products!$A:$D,4,FALSE)</f>
        <v>17586</v>
      </c>
      <c r="J611" s="4">
        <f>VLOOKUP($A:$A,Sales!$B:$H,6,FALSE)</f>
        <v>45608</v>
      </c>
      <c r="K611" s="9">
        <f>VLOOKUP($A:$A,Sales!$B:$H,4,FALSE)</f>
        <v>5</v>
      </c>
      <c r="L611" s="5">
        <f t="shared" si="9"/>
        <v>87930</v>
      </c>
    </row>
    <row r="612" spans="1:12" x14ac:dyDescent="0.3">
      <c r="A612">
        <v>1223</v>
      </c>
      <c r="B612">
        <v>2009</v>
      </c>
      <c r="C612">
        <v>3013</v>
      </c>
      <c r="D612" t="str">
        <f>VLOOKUP('Sales table'!$A:$A,Customers!$A:$H,2,FALSE)</f>
        <v>Barry Wilson</v>
      </c>
      <c r="E612">
        <f>VLOOKUP('Sales table'!$A:$A,Customers!$A:$H,4,FALSE)</f>
        <v>54</v>
      </c>
      <c r="F612" t="str">
        <f>VLOOKUP('Sales table'!$A:$A,Customers!$A:$H,5,FALSE)</f>
        <v>Chennai</v>
      </c>
      <c r="G612" t="str">
        <f>VLOOKUP($B:$B,Products!$A:$D,2,FALSE)</f>
        <v>Bluetooth Speaker</v>
      </c>
      <c r="H612" t="str">
        <f>VLOOKUP($B:$B,Products!$A:$D,3,FALSE)</f>
        <v>Electronics</v>
      </c>
      <c r="I612">
        <f>VLOOKUP($B:$B,Products!$A:$D,4,FALSE)</f>
        <v>11047</v>
      </c>
      <c r="J612" s="4">
        <f>VLOOKUP($A:$A,Sales!$B:$H,6,FALSE)</f>
        <v>45581</v>
      </c>
      <c r="K612" s="9">
        <f>VLOOKUP($A:$A,Sales!$B:$H,4,FALSE)</f>
        <v>4</v>
      </c>
      <c r="L612" s="5">
        <f t="shared" si="9"/>
        <v>44188</v>
      </c>
    </row>
    <row r="613" spans="1:12" x14ac:dyDescent="0.3">
      <c r="A613">
        <v>1229</v>
      </c>
      <c r="B613">
        <v>2021</v>
      </c>
      <c r="C613">
        <v>3008</v>
      </c>
      <c r="D613" t="str">
        <f>VLOOKUP('Sales table'!$A:$A,Customers!$A:$H,2,FALSE)</f>
        <v>Susan Barry</v>
      </c>
      <c r="E613">
        <f>VLOOKUP('Sales table'!$A:$A,Customers!$A:$H,4,FALSE)</f>
        <v>36</v>
      </c>
      <c r="F613" t="str">
        <f>VLOOKUP('Sales table'!$A:$A,Customers!$A:$H,5,FALSE)</f>
        <v>Pune</v>
      </c>
      <c r="G613" t="str">
        <f>VLOOKUP($B:$B,Products!$A:$D,2,FALSE)</f>
        <v>Smartwatch</v>
      </c>
      <c r="H613" t="str">
        <f>VLOOKUP($B:$B,Products!$A:$D,3,FALSE)</f>
        <v>Electronics</v>
      </c>
      <c r="I613">
        <f>VLOOKUP($B:$B,Products!$A:$D,4,FALSE)</f>
        <v>17586</v>
      </c>
      <c r="J613" s="4">
        <f>VLOOKUP($A:$A,Sales!$B:$H,6,FALSE)</f>
        <v>45606</v>
      </c>
      <c r="K613" s="9">
        <f>VLOOKUP($A:$A,Sales!$B:$H,4,FALSE)</f>
        <v>3</v>
      </c>
      <c r="L613" s="5">
        <f t="shared" si="9"/>
        <v>52758</v>
      </c>
    </row>
    <row r="614" spans="1:12" x14ac:dyDescent="0.3">
      <c r="A614">
        <v>1034</v>
      </c>
      <c r="B614">
        <v>2002</v>
      </c>
      <c r="C614">
        <v>3009</v>
      </c>
      <c r="D614" t="str">
        <f>VLOOKUP('Sales table'!$A:$A,Customers!$A:$H,2,FALSE)</f>
        <v>Pamela Watson</v>
      </c>
      <c r="E614">
        <f>VLOOKUP('Sales table'!$A:$A,Customers!$A:$H,4,FALSE)</f>
        <v>25</v>
      </c>
      <c r="F614" t="str">
        <f>VLOOKUP('Sales table'!$A:$A,Customers!$A:$H,5,FALSE)</f>
        <v>Kolkata</v>
      </c>
      <c r="G614" t="str">
        <f>VLOOKUP($B:$B,Products!$A:$D,2,FALSE)</f>
        <v>Saree</v>
      </c>
      <c r="H614" t="str">
        <f>VLOOKUP($B:$B,Products!$A:$D,3,FALSE)</f>
        <v>Clothing</v>
      </c>
      <c r="I614">
        <f>VLOOKUP($B:$B,Products!$A:$D,4,FALSE)</f>
        <v>9534</v>
      </c>
      <c r="J614" s="4">
        <f>VLOOKUP($A:$A,Sales!$B:$H,6,FALSE)</f>
        <v>45603</v>
      </c>
      <c r="K614" s="9">
        <f>VLOOKUP($A:$A,Sales!$B:$H,4,FALSE)</f>
        <v>1</v>
      </c>
      <c r="L614" s="5">
        <f t="shared" si="9"/>
        <v>9534</v>
      </c>
    </row>
    <row r="615" spans="1:12" x14ac:dyDescent="0.3">
      <c r="A615">
        <v>1029</v>
      </c>
      <c r="B615">
        <v>2019</v>
      </c>
      <c r="C615">
        <v>3007</v>
      </c>
      <c r="D615" t="str">
        <f>VLOOKUP('Sales table'!$A:$A,Customers!$A:$H,2,FALSE)</f>
        <v>Leonard Smith</v>
      </c>
      <c r="E615">
        <f>VLOOKUP('Sales table'!$A:$A,Customers!$A:$H,4,FALSE)</f>
        <v>49</v>
      </c>
      <c r="F615" t="str">
        <f>VLOOKUP('Sales table'!$A:$A,Customers!$A:$H,5,FALSE)</f>
        <v>Hyderabad</v>
      </c>
      <c r="G615" t="str">
        <f>VLOOKUP($B:$B,Products!$A:$D,2,FALSE)</f>
        <v>Designer Kurti</v>
      </c>
      <c r="H615" t="str">
        <f>VLOOKUP($B:$B,Products!$A:$D,3,FALSE)</f>
        <v>Clothing</v>
      </c>
      <c r="I615">
        <f>VLOOKUP($B:$B,Products!$A:$D,4,FALSE)</f>
        <v>13620</v>
      </c>
      <c r="J615" s="4">
        <f>VLOOKUP($A:$A,Sales!$B:$H,6,FALSE)</f>
        <v>45592</v>
      </c>
      <c r="K615" s="9">
        <f>VLOOKUP($A:$A,Sales!$B:$H,4,FALSE)</f>
        <v>2</v>
      </c>
      <c r="L615" s="5">
        <f t="shared" si="9"/>
        <v>27240</v>
      </c>
    </row>
    <row r="616" spans="1:12" x14ac:dyDescent="0.3">
      <c r="A616">
        <v>1021</v>
      </c>
      <c r="B616">
        <v>2014</v>
      </c>
      <c r="C616">
        <v>3023</v>
      </c>
      <c r="D616" t="str">
        <f>VLOOKUP('Sales table'!$A:$A,Customers!$A:$H,2,FALSE)</f>
        <v>Margaret Harris</v>
      </c>
      <c r="E616">
        <f>VLOOKUP('Sales table'!$A:$A,Customers!$A:$H,4,FALSE)</f>
        <v>33</v>
      </c>
      <c r="F616" t="str">
        <f>VLOOKUP('Sales table'!$A:$A,Customers!$A:$H,5,FALSE)</f>
        <v>Hyderabad</v>
      </c>
      <c r="G616" t="str">
        <f>VLOOKUP($B:$B,Products!$A:$D,2,FALSE)</f>
        <v>Gold Coin</v>
      </c>
      <c r="H616" t="str">
        <f>VLOOKUP($B:$B,Products!$A:$D,3,FALSE)</f>
        <v>Precious Items</v>
      </c>
      <c r="I616">
        <f>VLOOKUP($B:$B,Products!$A:$D,4,FALSE)</f>
        <v>13823</v>
      </c>
      <c r="J616" s="4">
        <f>VLOOKUP($A:$A,Sales!$B:$H,6,FALSE)</f>
        <v>45612</v>
      </c>
      <c r="K616" s="9">
        <f>VLOOKUP($A:$A,Sales!$B:$H,4,FALSE)</f>
        <v>5</v>
      </c>
      <c r="L616" s="5">
        <f t="shared" si="9"/>
        <v>69115</v>
      </c>
    </row>
    <row r="617" spans="1:12" x14ac:dyDescent="0.3">
      <c r="A617">
        <v>1018</v>
      </c>
      <c r="B617">
        <v>2010</v>
      </c>
      <c r="C617">
        <v>3034</v>
      </c>
      <c r="D617" t="str">
        <f>VLOOKUP('Sales table'!$A:$A,Customers!$A:$H,2,FALSE)</f>
        <v>Mariah Kim</v>
      </c>
      <c r="E617">
        <f>VLOOKUP('Sales table'!$A:$A,Customers!$A:$H,4,FALSE)</f>
        <v>34</v>
      </c>
      <c r="F617" t="str">
        <f>VLOOKUP('Sales table'!$A:$A,Customers!$A:$H,5,FALSE)</f>
        <v>Mumbai</v>
      </c>
      <c r="G617" t="str">
        <f>VLOOKUP($B:$B,Products!$A:$D,2,FALSE)</f>
        <v>Chocolate Box</v>
      </c>
      <c r="H617" t="str">
        <f>VLOOKUP($B:$B,Products!$A:$D,3,FALSE)</f>
        <v>Sweets &amp; Gifts</v>
      </c>
      <c r="I617">
        <f>VLOOKUP($B:$B,Products!$A:$D,4,FALSE)</f>
        <v>17909</v>
      </c>
      <c r="J617" s="4">
        <f>VLOOKUP($A:$A,Sales!$B:$H,6,FALSE)</f>
        <v>45610</v>
      </c>
      <c r="K617" s="9">
        <f>VLOOKUP($A:$A,Sales!$B:$H,4,FALSE)</f>
        <v>1</v>
      </c>
      <c r="L617" s="5">
        <f t="shared" si="9"/>
        <v>17909</v>
      </c>
    </row>
    <row r="618" spans="1:12" x14ac:dyDescent="0.3">
      <c r="A618">
        <v>1138</v>
      </c>
      <c r="B618">
        <v>2005</v>
      </c>
      <c r="C618">
        <v>3017</v>
      </c>
      <c r="D618" t="str">
        <f>VLOOKUP('Sales table'!$A:$A,Customers!$A:$H,2,FALSE)</f>
        <v>Timothy Wells</v>
      </c>
      <c r="E618">
        <f>VLOOKUP('Sales table'!$A:$A,Customers!$A:$H,4,FALSE)</f>
        <v>18</v>
      </c>
      <c r="F618" t="str">
        <f>VLOOKUP('Sales table'!$A:$A,Customers!$A:$H,5,FALSE)</f>
        <v>Hyderabad</v>
      </c>
      <c r="G618" t="str">
        <f>VLOOKUP($B:$B,Products!$A:$D,2,FALSE)</f>
        <v>LED Lamp</v>
      </c>
      <c r="H618" t="str">
        <f>VLOOKUP($B:$B,Products!$A:$D,3,FALSE)</f>
        <v>Home Decor</v>
      </c>
      <c r="I618">
        <f>VLOOKUP($B:$B,Products!$A:$D,4,FALSE)</f>
        <v>3828</v>
      </c>
      <c r="J618" s="4">
        <f>VLOOKUP($A:$A,Sales!$B:$H,6,FALSE)</f>
        <v>45586</v>
      </c>
      <c r="K618" s="9">
        <f>VLOOKUP($A:$A,Sales!$B:$H,4,FALSE)</f>
        <v>1</v>
      </c>
      <c r="L618" s="5">
        <f t="shared" si="9"/>
        <v>3828</v>
      </c>
    </row>
    <row r="619" spans="1:12" x14ac:dyDescent="0.3">
      <c r="A619">
        <v>1170</v>
      </c>
      <c r="B619">
        <v>2001</v>
      </c>
      <c r="C619">
        <v>3027</v>
      </c>
      <c r="D619" t="str">
        <f>VLOOKUP('Sales table'!$A:$A,Customers!$A:$H,2,FALSE)</f>
        <v>Gerald Sanders</v>
      </c>
      <c r="E619">
        <f>VLOOKUP('Sales table'!$A:$A,Customers!$A:$H,4,FALSE)</f>
        <v>52</v>
      </c>
      <c r="F619" t="str">
        <f>VLOOKUP('Sales table'!$A:$A,Customers!$A:$H,5,FALSE)</f>
        <v>Kolkata</v>
      </c>
      <c r="G619" t="str">
        <f>VLOOKUP($B:$B,Products!$A:$D,2,FALSE)</f>
        <v>Sweets Box</v>
      </c>
      <c r="H619" t="str">
        <f>VLOOKUP($B:$B,Products!$A:$D,3,FALSE)</f>
        <v>Sweets &amp; Gifts</v>
      </c>
      <c r="I619">
        <f>VLOOKUP($B:$B,Products!$A:$D,4,FALSE)</f>
        <v>7228</v>
      </c>
      <c r="J619" s="4">
        <f>VLOOKUP($A:$A,Sales!$B:$H,6,FALSE)</f>
        <v>45600</v>
      </c>
      <c r="K619" s="9">
        <f>VLOOKUP($A:$A,Sales!$B:$H,4,FALSE)</f>
        <v>4</v>
      </c>
      <c r="L619" s="5">
        <f t="shared" si="9"/>
        <v>28912</v>
      </c>
    </row>
    <row r="620" spans="1:12" x14ac:dyDescent="0.3">
      <c r="A620">
        <v>1176</v>
      </c>
      <c r="B620">
        <v>2020</v>
      </c>
      <c r="C620">
        <v>3001</v>
      </c>
      <c r="D620" t="str">
        <f>VLOOKUP('Sales table'!$A:$A,Customers!$A:$H,2,FALSE)</f>
        <v>Brent Smith</v>
      </c>
      <c r="E620">
        <f>VLOOKUP('Sales table'!$A:$A,Customers!$A:$H,4,FALSE)</f>
        <v>37</v>
      </c>
      <c r="F620" t="str">
        <f>VLOOKUP('Sales table'!$A:$A,Customers!$A:$H,5,FALSE)</f>
        <v>Bangalore</v>
      </c>
      <c r="G620" t="str">
        <f>VLOOKUP($B:$B,Products!$A:$D,2,FALSE)</f>
        <v>Ethnic Jewelry</v>
      </c>
      <c r="H620" t="str">
        <f>VLOOKUP($B:$B,Products!$A:$D,3,FALSE)</f>
        <v>Precious Items</v>
      </c>
      <c r="I620">
        <f>VLOOKUP($B:$B,Products!$A:$D,4,FALSE)</f>
        <v>4495</v>
      </c>
      <c r="J620" s="4">
        <f>VLOOKUP($A:$A,Sales!$B:$H,6,FALSE)</f>
        <v>45585</v>
      </c>
      <c r="K620" s="9">
        <f>VLOOKUP($A:$A,Sales!$B:$H,4,FALSE)</f>
        <v>3</v>
      </c>
      <c r="L620" s="5">
        <f t="shared" si="9"/>
        <v>13485</v>
      </c>
    </row>
    <row r="621" spans="1:12" x14ac:dyDescent="0.3">
      <c r="A621">
        <v>1076</v>
      </c>
      <c r="B621">
        <v>2014</v>
      </c>
      <c r="C621">
        <v>3021</v>
      </c>
      <c r="D621" t="str">
        <f>VLOOKUP('Sales table'!$A:$A,Customers!$A:$H,2,FALSE)</f>
        <v>Daniel Simon</v>
      </c>
      <c r="E621">
        <f>VLOOKUP('Sales table'!$A:$A,Customers!$A:$H,4,FALSE)</f>
        <v>28</v>
      </c>
      <c r="F621" t="str">
        <f>VLOOKUP('Sales table'!$A:$A,Customers!$A:$H,5,FALSE)</f>
        <v>Chennai</v>
      </c>
      <c r="G621" t="str">
        <f>VLOOKUP($B:$B,Products!$A:$D,2,FALSE)</f>
        <v>Gold Coin</v>
      </c>
      <c r="H621" t="str">
        <f>VLOOKUP($B:$B,Products!$A:$D,3,FALSE)</f>
        <v>Precious Items</v>
      </c>
      <c r="I621">
        <f>VLOOKUP($B:$B,Products!$A:$D,4,FALSE)</f>
        <v>13823</v>
      </c>
      <c r="J621" s="4">
        <f>VLOOKUP($A:$A,Sales!$B:$H,6,FALSE)</f>
        <v>45590</v>
      </c>
      <c r="K621" s="9">
        <f>VLOOKUP($A:$A,Sales!$B:$H,4,FALSE)</f>
        <v>1</v>
      </c>
      <c r="L621" s="5">
        <f t="shared" si="9"/>
        <v>13823</v>
      </c>
    </row>
    <row r="622" spans="1:12" x14ac:dyDescent="0.3">
      <c r="A622">
        <v>1174</v>
      </c>
      <c r="B622">
        <v>2003</v>
      </c>
      <c r="C622">
        <v>3013</v>
      </c>
      <c r="D622" t="str">
        <f>VLOOKUP('Sales table'!$A:$A,Customers!$A:$H,2,FALSE)</f>
        <v>Eric West</v>
      </c>
      <c r="E622">
        <f>VLOOKUP('Sales table'!$A:$A,Customers!$A:$H,4,FALSE)</f>
        <v>23</v>
      </c>
      <c r="F622" t="str">
        <f>VLOOKUP('Sales table'!$A:$A,Customers!$A:$H,5,FALSE)</f>
        <v>Hyderabad</v>
      </c>
      <c r="G622" t="str">
        <f>VLOOKUP($B:$B,Products!$A:$D,2,FALSE)</f>
        <v>Kurta</v>
      </c>
      <c r="H622" t="str">
        <f>VLOOKUP($B:$B,Products!$A:$D,3,FALSE)</f>
        <v>Clothing</v>
      </c>
      <c r="I622">
        <f>VLOOKUP($B:$B,Products!$A:$D,4,FALSE)</f>
        <v>13241</v>
      </c>
      <c r="J622" s="4">
        <f>VLOOKUP($A:$A,Sales!$B:$H,6,FALSE)</f>
        <v>45581</v>
      </c>
      <c r="K622" s="9">
        <f>VLOOKUP($A:$A,Sales!$B:$H,4,FALSE)</f>
        <v>3</v>
      </c>
      <c r="L622" s="5">
        <f t="shared" si="9"/>
        <v>39723</v>
      </c>
    </row>
    <row r="623" spans="1:12" x14ac:dyDescent="0.3">
      <c r="A623">
        <v>1162</v>
      </c>
      <c r="B623">
        <v>2006</v>
      </c>
      <c r="C623">
        <v>3020</v>
      </c>
      <c r="D623" t="str">
        <f>VLOOKUP('Sales table'!$A:$A,Customers!$A:$H,2,FALSE)</f>
        <v>Jamie Jarvis</v>
      </c>
      <c r="E623">
        <f>VLOOKUP('Sales table'!$A:$A,Customers!$A:$H,4,FALSE)</f>
        <v>38</v>
      </c>
      <c r="F623" t="str">
        <f>VLOOKUP('Sales table'!$A:$A,Customers!$A:$H,5,FALSE)</f>
        <v>Kolkata</v>
      </c>
      <c r="G623" t="str">
        <f>VLOOKUP($B:$B,Products!$A:$D,2,FALSE)</f>
        <v>Crackers Pack</v>
      </c>
      <c r="H623" t="str">
        <f>VLOOKUP($B:$B,Products!$A:$D,3,FALSE)</f>
        <v>Crackers</v>
      </c>
      <c r="I623">
        <f>VLOOKUP($B:$B,Products!$A:$D,4,FALSE)</f>
        <v>12060</v>
      </c>
      <c r="J623" s="4">
        <f>VLOOKUP($A:$A,Sales!$B:$H,6,FALSE)</f>
        <v>45586</v>
      </c>
      <c r="K623" s="9">
        <f>VLOOKUP($A:$A,Sales!$B:$H,4,FALSE)</f>
        <v>5</v>
      </c>
      <c r="L623" s="5">
        <f t="shared" si="9"/>
        <v>60300</v>
      </c>
    </row>
    <row r="624" spans="1:12" x14ac:dyDescent="0.3">
      <c r="A624">
        <v>1286</v>
      </c>
      <c r="B624">
        <v>2008</v>
      </c>
      <c r="C624">
        <v>3023</v>
      </c>
      <c r="D624" t="str">
        <f>VLOOKUP('Sales table'!$A:$A,Customers!$A:$H,2,FALSE)</f>
        <v>Anthony Taylor</v>
      </c>
      <c r="E624">
        <f>VLOOKUP('Sales table'!$A:$A,Customers!$A:$H,4,FALSE)</f>
        <v>33</v>
      </c>
      <c r="F624" t="str">
        <f>VLOOKUP('Sales table'!$A:$A,Customers!$A:$H,5,FALSE)</f>
        <v>Mumbai</v>
      </c>
      <c r="G624" t="str">
        <f>VLOOKUP($B:$B,Products!$A:$D,2,FALSE)</f>
        <v>Earthen Diyas</v>
      </c>
      <c r="H624" t="str">
        <f>VLOOKUP($B:$B,Products!$A:$D,3,FALSE)</f>
        <v>Home Decor</v>
      </c>
      <c r="I624">
        <f>VLOOKUP($B:$B,Products!$A:$D,4,FALSE)</f>
        <v>2136</v>
      </c>
      <c r="J624" s="4">
        <f>VLOOKUP($A:$A,Sales!$B:$H,6,FALSE)</f>
        <v>45595</v>
      </c>
      <c r="K624" s="9">
        <f>VLOOKUP($A:$A,Sales!$B:$H,4,FALSE)</f>
        <v>1</v>
      </c>
      <c r="L624" s="5">
        <f t="shared" si="9"/>
        <v>2136</v>
      </c>
    </row>
    <row r="625" spans="1:12" x14ac:dyDescent="0.3">
      <c r="A625">
        <v>1021</v>
      </c>
      <c r="B625">
        <v>2015</v>
      </c>
      <c r="C625">
        <v>3002</v>
      </c>
      <c r="D625" t="str">
        <f>VLOOKUP('Sales table'!$A:$A,Customers!$A:$H,2,FALSE)</f>
        <v>Margaret Harris</v>
      </c>
      <c r="E625">
        <f>VLOOKUP('Sales table'!$A:$A,Customers!$A:$H,4,FALSE)</f>
        <v>33</v>
      </c>
      <c r="F625" t="str">
        <f>VLOOKUP('Sales table'!$A:$A,Customers!$A:$H,5,FALSE)</f>
        <v>Hyderabad</v>
      </c>
      <c r="G625" t="str">
        <f>VLOOKUP($B:$B,Products!$A:$D,2,FALSE)</f>
        <v>Candle Set</v>
      </c>
      <c r="H625" t="str">
        <f>VLOOKUP($B:$B,Products!$A:$D,3,FALSE)</f>
        <v>Home Decor</v>
      </c>
      <c r="I625">
        <f>VLOOKUP($B:$B,Products!$A:$D,4,FALSE)</f>
        <v>17604</v>
      </c>
      <c r="J625" s="4">
        <f>VLOOKUP($A:$A,Sales!$B:$H,6,FALSE)</f>
        <v>45612</v>
      </c>
      <c r="K625" s="9">
        <f>VLOOKUP($A:$A,Sales!$B:$H,4,FALSE)</f>
        <v>5</v>
      </c>
      <c r="L625" s="5">
        <f t="shared" si="9"/>
        <v>88020</v>
      </c>
    </row>
    <row r="626" spans="1:12" x14ac:dyDescent="0.3">
      <c r="A626">
        <v>1208</v>
      </c>
      <c r="B626">
        <v>2006</v>
      </c>
      <c r="C626">
        <v>3031</v>
      </c>
      <c r="D626" t="str">
        <f>VLOOKUP('Sales table'!$A:$A,Customers!$A:$H,2,FALSE)</f>
        <v>Kelly Lee</v>
      </c>
      <c r="E626">
        <f>VLOOKUP('Sales table'!$A:$A,Customers!$A:$H,4,FALSE)</f>
        <v>47</v>
      </c>
      <c r="F626" t="str">
        <f>VLOOKUP('Sales table'!$A:$A,Customers!$A:$H,5,FALSE)</f>
        <v>Delhi</v>
      </c>
      <c r="G626" t="str">
        <f>VLOOKUP($B:$B,Products!$A:$D,2,FALSE)</f>
        <v>Crackers Pack</v>
      </c>
      <c r="H626" t="str">
        <f>VLOOKUP($B:$B,Products!$A:$D,3,FALSE)</f>
        <v>Crackers</v>
      </c>
      <c r="I626">
        <f>VLOOKUP($B:$B,Products!$A:$D,4,FALSE)</f>
        <v>12060</v>
      </c>
      <c r="J626" s="4">
        <f>VLOOKUP($A:$A,Sales!$B:$H,6,FALSE)</f>
        <v>45597</v>
      </c>
      <c r="K626" s="9">
        <f>VLOOKUP($A:$A,Sales!$B:$H,4,FALSE)</f>
        <v>3</v>
      </c>
      <c r="L626" s="5">
        <f t="shared" si="9"/>
        <v>36180</v>
      </c>
    </row>
    <row r="627" spans="1:12" x14ac:dyDescent="0.3">
      <c r="A627">
        <v>1169</v>
      </c>
      <c r="B627">
        <v>2021</v>
      </c>
      <c r="C627">
        <v>3002</v>
      </c>
      <c r="D627" t="str">
        <f>VLOOKUP('Sales table'!$A:$A,Customers!$A:$H,2,FALSE)</f>
        <v>Antonio Mora</v>
      </c>
      <c r="E627">
        <f>VLOOKUP('Sales table'!$A:$A,Customers!$A:$H,4,FALSE)</f>
        <v>37</v>
      </c>
      <c r="F627" t="str">
        <f>VLOOKUP('Sales table'!$A:$A,Customers!$A:$H,5,FALSE)</f>
        <v>Delhi</v>
      </c>
      <c r="G627" t="str">
        <f>VLOOKUP($B:$B,Products!$A:$D,2,FALSE)</f>
        <v>Smartwatch</v>
      </c>
      <c r="H627" t="str">
        <f>VLOOKUP($B:$B,Products!$A:$D,3,FALSE)</f>
        <v>Electronics</v>
      </c>
      <c r="I627">
        <f>VLOOKUP($B:$B,Products!$A:$D,4,FALSE)</f>
        <v>17586</v>
      </c>
      <c r="J627" s="4">
        <f>VLOOKUP($A:$A,Sales!$B:$H,6,FALSE)</f>
        <v>45597</v>
      </c>
      <c r="K627" s="9">
        <f>VLOOKUP($A:$A,Sales!$B:$H,4,FALSE)</f>
        <v>3</v>
      </c>
      <c r="L627" s="5">
        <f t="shared" si="9"/>
        <v>52758</v>
      </c>
    </row>
    <row r="628" spans="1:12" x14ac:dyDescent="0.3">
      <c r="A628">
        <v>1143</v>
      </c>
      <c r="B628">
        <v>2008</v>
      </c>
      <c r="C628">
        <v>3029</v>
      </c>
      <c r="D628" t="str">
        <f>VLOOKUP('Sales table'!$A:$A,Customers!$A:$H,2,FALSE)</f>
        <v>Corey Kidd</v>
      </c>
      <c r="E628">
        <f>VLOOKUP('Sales table'!$A:$A,Customers!$A:$H,4,FALSE)</f>
        <v>58</v>
      </c>
      <c r="F628" t="str">
        <f>VLOOKUP('Sales table'!$A:$A,Customers!$A:$H,5,FALSE)</f>
        <v>Hyderabad</v>
      </c>
      <c r="G628" t="str">
        <f>VLOOKUP($B:$B,Products!$A:$D,2,FALSE)</f>
        <v>Earthen Diyas</v>
      </c>
      <c r="H628" t="str">
        <f>VLOOKUP($B:$B,Products!$A:$D,3,FALSE)</f>
        <v>Home Decor</v>
      </c>
      <c r="I628">
        <f>VLOOKUP($B:$B,Products!$A:$D,4,FALSE)</f>
        <v>2136</v>
      </c>
      <c r="J628" s="4">
        <f>VLOOKUP($A:$A,Sales!$B:$H,6,FALSE)</f>
        <v>45593</v>
      </c>
      <c r="K628" s="9">
        <f>VLOOKUP($A:$A,Sales!$B:$H,4,FALSE)</f>
        <v>5</v>
      </c>
      <c r="L628" s="5">
        <f t="shared" si="9"/>
        <v>10680</v>
      </c>
    </row>
    <row r="629" spans="1:12" x14ac:dyDescent="0.3">
      <c r="A629">
        <v>1224</v>
      </c>
      <c r="B629">
        <v>2016</v>
      </c>
      <c r="C629">
        <v>3035</v>
      </c>
      <c r="D629" t="str">
        <f>VLOOKUP('Sales table'!$A:$A,Customers!$A:$H,2,FALSE)</f>
        <v>Joseph Garrett</v>
      </c>
      <c r="E629">
        <f>VLOOKUP('Sales table'!$A:$A,Customers!$A:$H,4,FALSE)</f>
        <v>58</v>
      </c>
      <c r="F629" t="str">
        <f>VLOOKUP('Sales table'!$A:$A,Customers!$A:$H,5,FALSE)</f>
        <v>Pune</v>
      </c>
      <c r="G629" t="str">
        <f>VLOOKUP($B:$B,Products!$A:$D,2,FALSE)</f>
        <v>Fairy Lights</v>
      </c>
      <c r="H629" t="str">
        <f>VLOOKUP($B:$B,Products!$A:$D,3,FALSE)</f>
        <v>Home Decor</v>
      </c>
      <c r="I629">
        <f>VLOOKUP($B:$B,Products!$A:$D,4,FALSE)</f>
        <v>12242</v>
      </c>
      <c r="J629" s="4">
        <f>VLOOKUP($A:$A,Sales!$B:$H,6,FALSE)</f>
        <v>45609</v>
      </c>
      <c r="K629" s="9">
        <f>VLOOKUP($A:$A,Sales!$B:$H,4,FALSE)</f>
        <v>2</v>
      </c>
      <c r="L629" s="5">
        <f t="shared" si="9"/>
        <v>24484</v>
      </c>
    </row>
    <row r="630" spans="1:12" x14ac:dyDescent="0.3">
      <c r="A630">
        <v>1279</v>
      </c>
      <c r="B630">
        <v>2020</v>
      </c>
      <c r="C630">
        <v>3034</v>
      </c>
      <c r="D630" t="str">
        <f>VLOOKUP('Sales table'!$A:$A,Customers!$A:$H,2,FALSE)</f>
        <v>Erin Mann</v>
      </c>
      <c r="E630">
        <f>VLOOKUP('Sales table'!$A:$A,Customers!$A:$H,4,FALSE)</f>
        <v>52</v>
      </c>
      <c r="F630" t="str">
        <f>VLOOKUP('Sales table'!$A:$A,Customers!$A:$H,5,FALSE)</f>
        <v>Delhi</v>
      </c>
      <c r="G630" t="str">
        <f>VLOOKUP($B:$B,Products!$A:$D,2,FALSE)</f>
        <v>Ethnic Jewelry</v>
      </c>
      <c r="H630" t="str">
        <f>VLOOKUP($B:$B,Products!$A:$D,3,FALSE)</f>
        <v>Precious Items</v>
      </c>
      <c r="I630">
        <f>VLOOKUP($B:$B,Products!$A:$D,4,FALSE)</f>
        <v>4495</v>
      </c>
      <c r="J630" s="4">
        <f>VLOOKUP($A:$A,Sales!$B:$H,6,FALSE)</f>
        <v>45611</v>
      </c>
      <c r="K630" s="9">
        <f>VLOOKUP($A:$A,Sales!$B:$H,4,FALSE)</f>
        <v>5</v>
      </c>
      <c r="L630" s="5">
        <f t="shared" si="9"/>
        <v>22475</v>
      </c>
    </row>
    <row r="631" spans="1:12" x14ac:dyDescent="0.3">
      <c r="A631">
        <v>1264</v>
      </c>
      <c r="B631">
        <v>2019</v>
      </c>
      <c r="C631">
        <v>3002</v>
      </c>
      <c r="D631" t="str">
        <f>VLOOKUP('Sales table'!$A:$A,Customers!$A:$H,2,FALSE)</f>
        <v>Stephanie King</v>
      </c>
      <c r="E631">
        <f>VLOOKUP('Sales table'!$A:$A,Customers!$A:$H,4,FALSE)</f>
        <v>41</v>
      </c>
      <c r="F631" t="str">
        <f>VLOOKUP('Sales table'!$A:$A,Customers!$A:$H,5,FALSE)</f>
        <v>Mumbai</v>
      </c>
      <c r="G631" t="str">
        <f>VLOOKUP($B:$B,Products!$A:$D,2,FALSE)</f>
        <v>Designer Kurti</v>
      </c>
      <c r="H631" t="str">
        <f>VLOOKUP($B:$B,Products!$A:$D,3,FALSE)</f>
        <v>Clothing</v>
      </c>
      <c r="I631">
        <f>VLOOKUP($B:$B,Products!$A:$D,4,FALSE)</f>
        <v>13620</v>
      </c>
      <c r="J631" s="4">
        <f>VLOOKUP($A:$A,Sales!$B:$H,6,FALSE)</f>
        <v>45585</v>
      </c>
      <c r="K631" s="9">
        <f>VLOOKUP($A:$A,Sales!$B:$H,4,FALSE)</f>
        <v>2</v>
      </c>
      <c r="L631" s="5">
        <f t="shared" si="9"/>
        <v>27240</v>
      </c>
    </row>
    <row r="632" spans="1:12" x14ac:dyDescent="0.3">
      <c r="A632">
        <v>1295</v>
      </c>
      <c r="B632">
        <v>2011</v>
      </c>
      <c r="C632">
        <v>3030</v>
      </c>
      <c r="D632" t="str">
        <f>VLOOKUP('Sales table'!$A:$A,Customers!$A:$H,2,FALSE)</f>
        <v>Alicia Wallace</v>
      </c>
      <c r="E632">
        <f>VLOOKUP('Sales table'!$A:$A,Customers!$A:$H,4,FALSE)</f>
        <v>34</v>
      </c>
      <c r="F632" t="str">
        <f>VLOOKUP('Sales table'!$A:$A,Customers!$A:$H,5,FALSE)</f>
        <v>Mumbai</v>
      </c>
      <c r="G632" t="str">
        <f>VLOOKUP($B:$B,Products!$A:$D,2,FALSE)</f>
        <v>Festive Thali</v>
      </c>
      <c r="H632" t="str">
        <f>VLOOKUP($B:$B,Products!$A:$D,3,FALSE)</f>
        <v>Other</v>
      </c>
      <c r="I632">
        <f>VLOOKUP($B:$B,Products!$A:$D,4,FALSE)</f>
        <v>7481</v>
      </c>
      <c r="J632" s="4">
        <f>VLOOKUP($A:$A,Sales!$B:$H,6,FALSE)</f>
        <v>45576</v>
      </c>
      <c r="K632" s="9">
        <f>VLOOKUP($A:$A,Sales!$B:$H,4,FALSE)</f>
        <v>2</v>
      </c>
      <c r="L632" s="5">
        <f t="shared" si="9"/>
        <v>14962</v>
      </c>
    </row>
    <row r="633" spans="1:12" x14ac:dyDescent="0.3">
      <c r="A633">
        <v>1272</v>
      </c>
      <c r="B633">
        <v>2003</v>
      </c>
      <c r="C633">
        <v>3001</v>
      </c>
      <c r="D633" t="str">
        <f>VLOOKUP('Sales table'!$A:$A,Customers!$A:$H,2,FALSE)</f>
        <v>John Miller</v>
      </c>
      <c r="E633">
        <f>VLOOKUP('Sales table'!$A:$A,Customers!$A:$H,4,FALSE)</f>
        <v>39</v>
      </c>
      <c r="F633" t="str">
        <f>VLOOKUP('Sales table'!$A:$A,Customers!$A:$H,5,FALSE)</f>
        <v>Kolkata</v>
      </c>
      <c r="G633" t="str">
        <f>VLOOKUP($B:$B,Products!$A:$D,2,FALSE)</f>
        <v>Kurta</v>
      </c>
      <c r="H633" t="str">
        <f>VLOOKUP($B:$B,Products!$A:$D,3,FALSE)</f>
        <v>Clothing</v>
      </c>
      <c r="I633">
        <f>VLOOKUP($B:$B,Products!$A:$D,4,FALSE)</f>
        <v>13241</v>
      </c>
      <c r="J633" s="4">
        <f>VLOOKUP($A:$A,Sales!$B:$H,6,FALSE)</f>
        <v>45610</v>
      </c>
      <c r="K633" s="9">
        <f>VLOOKUP($A:$A,Sales!$B:$H,4,FALSE)</f>
        <v>2</v>
      </c>
      <c r="L633" s="5">
        <f t="shared" si="9"/>
        <v>26482</v>
      </c>
    </row>
    <row r="634" spans="1:12" x14ac:dyDescent="0.3">
      <c r="A634">
        <v>1220</v>
      </c>
      <c r="B634">
        <v>2018</v>
      </c>
      <c r="C634">
        <v>3026</v>
      </c>
      <c r="D634" t="str">
        <f>VLOOKUP('Sales table'!$A:$A,Customers!$A:$H,2,FALSE)</f>
        <v>Desiree Reed</v>
      </c>
      <c r="E634">
        <f>VLOOKUP('Sales table'!$A:$A,Customers!$A:$H,4,FALSE)</f>
        <v>29</v>
      </c>
      <c r="F634" t="str">
        <f>VLOOKUP('Sales table'!$A:$A,Customers!$A:$H,5,FALSE)</f>
        <v>Hyderabad</v>
      </c>
      <c r="G634" t="str">
        <f>VLOOKUP($B:$B,Products!$A:$D,2,FALSE)</f>
        <v>Dry Fruits Pack</v>
      </c>
      <c r="H634" t="str">
        <f>VLOOKUP($B:$B,Products!$A:$D,3,FALSE)</f>
        <v>Sweets &amp; Gifts</v>
      </c>
      <c r="I634">
        <f>VLOOKUP($B:$B,Products!$A:$D,4,FALSE)</f>
        <v>7243</v>
      </c>
      <c r="J634" s="4">
        <f>VLOOKUP($A:$A,Sales!$B:$H,6,FALSE)</f>
        <v>45608</v>
      </c>
      <c r="K634" s="9">
        <f>VLOOKUP($A:$A,Sales!$B:$H,4,FALSE)</f>
        <v>2</v>
      </c>
      <c r="L634" s="5">
        <f t="shared" si="9"/>
        <v>14486</v>
      </c>
    </row>
    <row r="635" spans="1:12" x14ac:dyDescent="0.3">
      <c r="A635">
        <v>1171</v>
      </c>
      <c r="B635">
        <v>2020</v>
      </c>
      <c r="C635">
        <v>3026</v>
      </c>
      <c r="D635" t="str">
        <f>VLOOKUP('Sales table'!$A:$A,Customers!$A:$H,2,FALSE)</f>
        <v>Brandon Graves</v>
      </c>
      <c r="E635">
        <f>VLOOKUP('Sales table'!$A:$A,Customers!$A:$H,4,FALSE)</f>
        <v>43</v>
      </c>
      <c r="F635" t="str">
        <f>VLOOKUP('Sales table'!$A:$A,Customers!$A:$H,5,FALSE)</f>
        <v>Delhi</v>
      </c>
      <c r="G635" t="str">
        <f>VLOOKUP($B:$B,Products!$A:$D,2,FALSE)</f>
        <v>Ethnic Jewelry</v>
      </c>
      <c r="H635" t="str">
        <f>VLOOKUP($B:$B,Products!$A:$D,3,FALSE)</f>
        <v>Precious Items</v>
      </c>
      <c r="I635">
        <f>VLOOKUP($B:$B,Products!$A:$D,4,FALSE)</f>
        <v>4495</v>
      </c>
      <c r="J635" s="4">
        <f>VLOOKUP($A:$A,Sales!$B:$H,6,FALSE)</f>
        <v>45616</v>
      </c>
      <c r="K635" s="9">
        <f>VLOOKUP($A:$A,Sales!$B:$H,4,FALSE)</f>
        <v>1</v>
      </c>
      <c r="L635" s="5">
        <f t="shared" si="9"/>
        <v>4495</v>
      </c>
    </row>
    <row r="636" spans="1:12" x14ac:dyDescent="0.3">
      <c r="A636">
        <v>1028</v>
      </c>
      <c r="B636">
        <v>2015</v>
      </c>
      <c r="C636">
        <v>3022</v>
      </c>
      <c r="D636" t="str">
        <f>VLOOKUP('Sales table'!$A:$A,Customers!$A:$H,2,FALSE)</f>
        <v>Sandra Parker</v>
      </c>
      <c r="E636">
        <f>VLOOKUP('Sales table'!$A:$A,Customers!$A:$H,4,FALSE)</f>
        <v>61</v>
      </c>
      <c r="F636" t="str">
        <f>VLOOKUP('Sales table'!$A:$A,Customers!$A:$H,5,FALSE)</f>
        <v>Mumbai</v>
      </c>
      <c r="G636" t="str">
        <f>VLOOKUP($B:$B,Products!$A:$D,2,FALSE)</f>
        <v>Candle Set</v>
      </c>
      <c r="H636" t="str">
        <f>VLOOKUP($B:$B,Products!$A:$D,3,FALSE)</f>
        <v>Home Decor</v>
      </c>
      <c r="I636">
        <f>VLOOKUP($B:$B,Products!$A:$D,4,FALSE)</f>
        <v>17604</v>
      </c>
      <c r="J636" s="4">
        <f>VLOOKUP($A:$A,Sales!$B:$H,6,FALSE)</f>
        <v>45606</v>
      </c>
      <c r="K636" s="9">
        <f>VLOOKUP($A:$A,Sales!$B:$H,4,FALSE)</f>
        <v>2</v>
      </c>
      <c r="L636" s="5">
        <f t="shared" si="9"/>
        <v>35208</v>
      </c>
    </row>
    <row r="637" spans="1:12" x14ac:dyDescent="0.3">
      <c r="A637">
        <v>1110</v>
      </c>
      <c r="B637">
        <v>2017</v>
      </c>
      <c r="C637">
        <v>3030</v>
      </c>
      <c r="D637" t="str">
        <f>VLOOKUP('Sales table'!$A:$A,Customers!$A:$H,2,FALSE)</f>
        <v>Michelle Hardin</v>
      </c>
      <c r="E637">
        <f>VLOOKUP('Sales table'!$A:$A,Customers!$A:$H,4,FALSE)</f>
        <v>64</v>
      </c>
      <c r="F637" t="str">
        <f>VLOOKUP('Sales table'!$A:$A,Customers!$A:$H,5,FALSE)</f>
        <v>Delhi</v>
      </c>
      <c r="G637" t="str">
        <f>VLOOKUP($B:$B,Products!$A:$D,2,FALSE)</f>
        <v>Handmade Pottery</v>
      </c>
      <c r="H637" t="str">
        <f>VLOOKUP($B:$B,Products!$A:$D,3,FALSE)</f>
        <v>Home Decor</v>
      </c>
      <c r="I637">
        <f>VLOOKUP($B:$B,Products!$A:$D,4,FALSE)</f>
        <v>8186</v>
      </c>
      <c r="J637" s="4">
        <f>VLOOKUP($A:$A,Sales!$B:$H,6,FALSE)</f>
        <v>45583</v>
      </c>
      <c r="K637" s="9">
        <f>VLOOKUP($A:$A,Sales!$B:$H,4,FALSE)</f>
        <v>3</v>
      </c>
      <c r="L637" s="5">
        <f t="shared" si="9"/>
        <v>24558</v>
      </c>
    </row>
    <row r="638" spans="1:12" x14ac:dyDescent="0.3">
      <c r="A638">
        <v>1011</v>
      </c>
      <c r="B638">
        <v>2014</v>
      </c>
      <c r="C638">
        <v>3034</v>
      </c>
      <c r="D638" t="str">
        <f>VLOOKUP('Sales table'!$A:$A,Customers!$A:$H,2,FALSE)</f>
        <v>Lindsey West</v>
      </c>
      <c r="E638">
        <f>VLOOKUP('Sales table'!$A:$A,Customers!$A:$H,4,FALSE)</f>
        <v>19</v>
      </c>
      <c r="F638" t="str">
        <f>VLOOKUP('Sales table'!$A:$A,Customers!$A:$H,5,FALSE)</f>
        <v>Hyderabad</v>
      </c>
      <c r="G638" t="str">
        <f>VLOOKUP($B:$B,Products!$A:$D,2,FALSE)</f>
        <v>Gold Coin</v>
      </c>
      <c r="H638" t="str">
        <f>VLOOKUP($B:$B,Products!$A:$D,3,FALSE)</f>
        <v>Precious Items</v>
      </c>
      <c r="I638">
        <f>VLOOKUP($B:$B,Products!$A:$D,4,FALSE)</f>
        <v>13823</v>
      </c>
      <c r="J638" s="4">
        <f>VLOOKUP($A:$A,Sales!$B:$H,6,FALSE)</f>
        <v>45575</v>
      </c>
      <c r="K638" s="9">
        <f>VLOOKUP($A:$A,Sales!$B:$H,4,FALSE)</f>
        <v>3</v>
      </c>
      <c r="L638" s="5">
        <f t="shared" si="9"/>
        <v>41469</v>
      </c>
    </row>
    <row r="639" spans="1:12" x14ac:dyDescent="0.3">
      <c r="A639">
        <v>1030</v>
      </c>
      <c r="B639">
        <v>2017</v>
      </c>
      <c r="C639">
        <v>3014</v>
      </c>
      <c r="D639" t="str">
        <f>VLOOKUP('Sales table'!$A:$A,Customers!$A:$H,2,FALSE)</f>
        <v>Andrea Hines</v>
      </c>
      <c r="E639">
        <f>VLOOKUP('Sales table'!$A:$A,Customers!$A:$H,4,FALSE)</f>
        <v>49</v>
      </c>
      <c r="F639" t="str">
        <f>VLOOKUP('Sales table'!$A:$A,Customers!$A:$H,5,FALSE)</f>
        <v>Bangalore</v>
      </c>
      <c r="G639" t="str">
        <f>VLOOKUP($B:$B,Products!$A:$D,2,FALSE)</f>
        <v>Handmade Pottery</v>
      </c>
      <c r="H639" t="str">
        <f>VLOOKUP($B:$B,Products!$A:$D,3,FALSE)</f>
        <v>Home Decor</v>
      </c>
      <c r="I639">
        <f>VLOOKUP($B:$B,Products!$A:$D,4,FALSE)</f>
        <v>8186</v>
      </c>
      <c r="J639" s="4">
        <f>VLOOKUP($A:$A,Sales!$B:$H,6,FALSE)</f>
        <v>45611</v>
      </c>
      <c r="K639" s="9">
        <f>VLOOKUP($A:$A,Sales!$B:$H,4,FALSE)</f>
        <v>4</v>
      </c>
      <c r="L639" s="5">
        <f t="shared" si="9"/>
        <v>32744</v>
      </c>
    </row>
    <row r="640" spans="1:12" x14ac:dyDescent="0.3">
      <c r="A640">
        <v>1271</v>
      </c>
      <c r="B640">
        <v>2013</v>
      </c>
      <c r="C640">
        <v>3022</v>
      </c>
      <c r="D640" t="str">
        <f>VLOOKUP('Sales table'!$A:$A,Customers!$A:$H,2,FALSE)</f>
        <v>Alicia Bailey</v>
      </c>
      <c r="E640">
        <f>VLOOKUP('Sales table'!$A:$A,Customers!$A:$H,4,FALSE)</f>
        <v>41</v>
      </c>
      <c r="F640" t="str">
        <f>VLOOKUP('Sales table'!$A:$A,Customers!$A:$H,5,FALSE)</f>
        <v>Bangalore</v>
      </c>
      <c r="G640" t="str">
        <f>VLOOKUP($B:$B,Products!$A:$D,2,FALSE)</f>
        <v>Silver Coin</v>
      </c>
      <c r="H640" t="str">
        <f>VLOOKUP($B:$B,Products!$A:$D,3,FALSE)</f>
        <v>Precious Items</v>
      </c>
      <c r="I640">
        <f>VLOOKUP($B:$B,Products!$A:$D,4,FALSE)</f>
        <v>11845</v>
      </c>
      <c r="J640" s="4">
        <f>VLOOKUP($A:$A,Sales!$B:$H,6,FALSE)</f>
        <v>45605</v>
      </c>
      <c r="K640" s="9">
        <f>VLOOKUP($A:$A,Sales!$B:$H,4,FALSE)</f>
        <v>2</v>
      </c>
      <c r="L640" s="5">
        <f t="shared" si="9"/>
        <v>23690</v>
      </c>
    </row>
    <row r="641" spans="1:12" x14ac:dyDescent="0.3">
      <c r="A641">
        <v>1151</v>
      </c>
      <c r="B641">
        <v>2021</v>
      </c>
      <c r="C641">
        <v>3003</v>
      </c>
      <c r="D641" t="str">
        <f>VLOOKUP('Sales table'!$A:$A,Customers!$A:$H,2,FALSE)</f>
        <v>Cynthia Simpson</v>
      </c>
      <c r="E641">
        <f>VLOOKUP('Sales table'!$A:$A,Customers!$A:$H,4,FALSE)</f>
        <v>58</v>
      </c>
      <c r="F641" t="str">
        <f>VLOOKUP('Sales table'!$A:$A,Customers!$A:$H,5,FALSE)</f>
        <v>Delhi</v>
      </c>
      <c r="G641" t="str">
        <f>VLOOKUP($B:$B,Products!$A:$D,2,FALSE)</f>
        <v>Smartwatch</v>
      </c>
      <c r="H641" t="str">
        <f>VLOOKUP($B:$B,Products!$A:$D,3,FALSE)</f>
        <v>Electronics</v>
      </c>
      <c r="I641">
        <f>VLOOKUP($B:$B,Products!$A:$D,4,FALSE)</f>
        <v>17586</v>
      </c>
      <c r="J641" s="4">
        <f>VLOOKUP($A:$A,Sales!$B:$H,6,FALSE)</f>
        <v>45581</v>
      </c>
      <c r="K641" s="9">
        <f>VLOOKUP($A:$A,Sales!$B:$H,4,FALSE)</f>
        <v>4</v>
      </c>
      <c r="L641" s="5">
        <f t="shared" si="9"/>
        <v>70344</v>
      </c>
    </row>
    <row r="642" spans="1:12" x14ac:dyDescent="0.3">
      <c r="A642">
        <v>1255</v>
      </c>
      <c r="B642">
        <v>2008</v>
      </c>
      <c r="C642">
        <v>3002</v>
      </c>
      <c r="D642" t="str">
        <f>VLOOKUP('Sales table'!$A:$A,Customers!$A:$H,2,FALSE)</f>
        <v>Sarah Day</v>
      </c>
      <c r="E642">
        <f>VLOOKUP('Sales table'!$A:$A,Customers!$A:$H,4,FALSE)</f>
        <v>48</v>
      </c>
      <c r="F642" t="str">
        <f>VLOOKUP('Sales table'!$A:$A,Customers!$A:$H,5,FALSE)</f>
        <v>Mumbai</v>
      </c>
      <c r="G642" t="str">
        <f>VLOOKUP($B:$B,Products!$A:$D,2,FALSE)</f>
        <v>Earthen Diyas</v>
      </c>
      <c r="H642" t="str">
        <f>VLOOKUP($B:$B,Products!$A:$D,3,FALSE)</f>
        <v>Home Decor</v>
      </c>
      <c r="I642">
        <f>VLOOKUP($B:$B,Products!$A:$D,4,FALSE)</f>
        <v>2136</v>
      </c>
      <c r="J642" s="4">
        <f>VLOOKUP($A:$A,Sales!$B:$H,6,FALSE)</f>
        <v>45587</v>
      </c>
      <c r="K642" s="9">
        <f>VLOOKUP($A:$A,Sales!$B:$H,4,FALSE)</f>
        <v>4</v>
      </c>
      <c r="L642" s="5">
        <f t="shared" si="9"/>
        <v>8544</v>
      </c>
    </row>
    <row r="643" spans="1:12" x14ac:dyDescent="0.3">
      <c r="A643">
        <v>1222</v>
      </c>
      <c r="B643">
        <v>2011</v>
      </c>
      <c r="C643">
        <v>3026</v>
      </c>
      <c r="D643" t="str">
        <f>VLOOKUP('Sales table'!$A:$A,Customers!$A:$H,2,FALSE)</f>
        <v>Frank Johnson</v>
      </c>
      <c r="E643">
        <f>VLOOKUP('Sales table'!$A:$A,Customers!$A:$H,4,FALSE)</f>
        <v>39</v>
      </c>
      <c r="F643" t="str">
        <f>VLOOKUP('Sales table'!$A:$A,Customers!$A:$H,5,FALSE)</f>
        <v>Mumbai</v>
      </c>
      <c r="G643" t="str">
        <f>VLOOKUP($B:$B,Products!$A:$D,2,FALSE)</f>
        <v>Festive Thali</v>
      </c>
      <c r="H643" t="str">
        <f>VLOOKUP($B:$B,Products!$A:$D,3,FALSE)</f>
        <v>Other</v>
      </c>
      <c r="I643">
        <f>VLOOKUP($B:$B,Products!$A:$D,4,FALSE)</f>
        <v>7481</v>
      </c>
      <c r="J643" s="4">
        <f>VLOOKUP($A:$A,Sales!$B:$H,6,FALSE)</f>
        <v>45615</v>
      </c>
      <c r="K643" s="9">
        <f>VLOOKUP($A:$A,Sales!$B:$H,4,FALSE)</f>
        <v>4</v>
      </c>
      <c r="L643" s="5">
        <f t="shared" ref="L643:L706" si="10">I643*K643</f>
        <v>29924</v>
      </c>
    </row>
    <row r="644" spans="1:12" x14ac:dyDescent="0.3">
      <c r="A644">
        <v>1012</v>
      </c>
      <c r="B644">
        <v>2018</v>
      </c>
      <c r="C644">
        <v>3027</v>
      </c>
      <c r="D644" t="str">
        <f>VLOOKUP('Sales table'!$A:$A,Customers!$A:$H,2,FALSE)</f>
        <v>John Dunlap</v>
      </c>
      <c r="E644">
        <f>VLOOKUP('Sales table'!$A:$A,Customers!$A:$H,4,FALSE)</f>
        <v>52</v>
      </c>
      <c r="F644" t="str">
        <f>VLOOKUP('Sales table'!$A:$A,Customers!$A:$H,5,FALSE)</f>
        <v>Delhi</v>
      </c>
      <c r="G644" t="str">
        <f>VLOOKUP($B:$B,Products!$A:$D,2,FALSE)</f>
        <v>Dry Fruits Pack</v>
      </c>
      <c r="H644" t="str">
        <f>VLOOKUP($B:$B,Products!$A:$D,3,FALSE)</f>
        <v>Sweets &amp; Gifts</v>
      </c>
      <c r="I644">
        <f>VLOOKUP($B:$B,Products!$A:$D,4,FALSE)</f>
        <v>7243</v>
      </c>
      <c r="J644" s="4">
        <f>VLOOKUP($A:$A,Sales!$B:$H,6,FALSE)</f>
        <v>45601</v>
      </c>
      <c r="K644" s="9">
        <f>VLOOKUP($A:$A,Sales!$B:$H,4,FALSE)</f>
        <v>2</v>
      </c>
      <c r="L644" s="5">
        <f t="shared" si="10"/>
        <v>14486</v>
      </c>
    </row>
    <row r="645" spans="1:12" x14ac:dyDescent="0.3">
      <c r="A645">
        <v>1166</v>
      </c>
      <c r="B645">
        <v>2010</v>
      </c>
      <c r="C645">
        <v>3004</v>
      </c>
      <c r="D645" t="str">
        <f>VLOOKUP('Sales table'!$A:$A,Customers!$A:$H,2,FALSE)</f>
        <v>Susan Mooney</v>
      </c>
      <c r="E645">
        <f>VLOOKUP('Sales table'!$A:$A,Customers!$A:$H,4,FALSE)</f>
        <v>48</v>
      </c>
      <c r="F645" t="str">
        <f>VLOOKUP('Sales table'!$A:$A,Customers!$A:$H,5,FALSE)</f>
        <v>Delhi</v>
      </c>
      <c r="G645" t="str">
        <f>VLOOKUP($B:$B,Products!$A:$D,2,FALSE)</f>
        <v>Chocolate Box</v>
      </c>
      <c r="H645" t="str">
        <f>VLOOKUP($B:$B,Products!$A:$D,3,FALSE)</f>
        <v>Sweets &amp; Gifts</v>
      </c>
      <c r="I645">
        <f>VLOOKUP($B:$B,Products!$A:$D,4,FALSE)</f>
        <v>17909</v>
      </c>
      <c r="J645" s="4">
        <f>VLOOKUP($A:$A,Sales!$B:$H,6,FALSE)</f>
        <v>45581</v>
      </c>
      <c r="K645" s="9">
        <f>VLOOKUP($A:$A,Sales!$B:$H,4,FALSE)</f>
        <v>1</v>
      </c>
      <c r="L645" s="5">
        <f t="shared" si="10"/>
        <v>17909</v>
      </c>
    </row>
    <row r="646" spans="1:12" x14ac:dyDescent="0.3">
      <c r="A646">
        <v>1038</v>
      </c>
      <c r="B646">
        <v>2012</v>
      </c>
      <c r="C646">
        <v>3016</v>
      </c>
      <c r="D646" t="str">
        <f>VLOOKUP('Sales table'!$A:$A,Customers!$A:$H,2,FALSE)</f>
        <v>Eric Escobar</v>
      </c>
      <c r="E646">
        <f>VLOOKUP('Sales table'!$A:$A,Customers!$A:$H,4,FALSE)</f>
        <v>64</v>
      </c>
      <c r="F646" t="str">
        <f>VLOOKUP('Sales table'!$A:$A,Customers!$A:$H,5,FALSE)</f>
        <v>Pune</v>
      </c>
      <c r="G646" t="str">
        <f>VLOOKUP($B:$B,Products!$A:$D,2,FALSE)</f>
        <v>Wall Hanging</v>
      </c>
      <c r="H646" t="str">
        <f>VLOOKUP($B:$B,Products!$A:$D,3,FALSE)</f>
        <v>Home Decor</v>
      </c>
      <c r="I646">
        <f>VLOOKUP($B:$B,Products!$A:$D,4,FALSE)</f>
        <v>11867</v>
      </c>
      <c r="J646" s="4">
        <f>VLOOKUP($A:$A,Sales!$B:$H,6,FALSE)</f>
        <v>45604</v>
      </c>
      <c r="K646" s="9">
        <f>VLOOKUP($A:$A,Sales!$B:$H,4,FALSE)</f>
        <v>4</v>
      </c>
      <c r="L646" s="5">
        <f t="shared" si="10"/>
        <v>47468</v>
      </c>
    </row>
    <row r="647" spans="1:12" x14ac:dyDescent="0.3">
      <c r="A647">
        <v>1034</v>
      </c>
      <c r="B647">
        <v>2004</v>
      </c>
      <c r="C647">
        <v>3012</v>
      </c>
      <c r="D647" t="str">
        <f>VLOOKUP('Sales table'!$A:$A,Customers!$A:$H,2,FALSE)</f>
        <v>Pamela Watson</v>
      </c>
      <c r="E647">
        <f>VLOOKUP('Sales table'!$A:$A,Customers!$A:$H,4,FALSE)</f>
        <v>25</v>
      </c>
      <c r="F647" t="str">
        <f>VLOOKUP('Sales table'!$A:$A,Customers!$A:$H,5,FALSE)</f>
        <v>Kolkata</v>
      </c>
      <c r="G647" t="str">
        <f>VLOOKUP($B:$B,Products!$A:$D,2,FALSE)</f>
        <v>Smartphone</v>
      </c>
      <c r="H647" t="str">
        <f>VLOOKUP($B:$B,Products!$A:$D,3,FALSE)</f>
        <v>Electronics</v>
      </c>
      <c r="I647">
        <f>VLOOKUP($B:$B,Products!$A:$D,4,FALSE)</f>
        <v>4952</v>
      </c>
      <c r="J647" s="4">
        <f>VLOOKUP($A:$A,Sales!$B:$H,6,FALSE)</f>
        <v>45603</v>
      </c>
      <c r="K647" s="9">
        <f>VLOOKUP($A:$A,Sales!$B:$H,4,FALSE)</f>
        <v>1</v>
      </c>
      <c r="L647" s="5">
        <f t="shared" si="10"/>
        <v>4952</v>
      </c>
    </row>
    <row r="648" spans="1:12" x14ac:dyDescent="0.3">
      <c r="A648">
        <v>1094</v>
      </c>
      <c r="B648">
        <v>2023</v>
      </c>
      <c r="C648">
        <v>3014</v>
      </c>
      <c r="D648" t="str">
        <f>VLOOKUP('Sales table'!$A:$A,Customers!$A:$H,2,FALSE)</f>
        <v>Amanda Craig</v>
      </c>
      <c r="E648">
        <f>VLOOKUP('Sales table'!$A:$A,Customers!$A:$H,4,FALSE)</f>
        <v>57</v>
      </c>
      <c r="F648" t="str">
        <f>VLOOKUP('Sales table'!$A:$A,Customers!$A:$H,5,FALSE)</f>
        <v>Delhi</v>
      </c>
      <c r="G648" t="str">
        <f>VLOOKUP($B:$B,Products!$A:$D,2,FALSE)</f>
        <v>Kids Wear</v>
      </c>
      <c r="H648" t="str">
        <f>VLOOKUP($B:$B,Products!$A:$D,3,FALSE)</f>
        <v>Clothing</v>
      </c>
      <c r="I648">
        <f>VLOOKUP($B:$B,Products!$A:$D,4,FALSE)</f>
        <v>4794</v>
      </c>
      <c r="J648" s="4">
        <f>VLOOKUP($A:$A,Sales!$B:$H,6,FALSE)</f>
        <v>45594</v>
      </c>
      <c r="K648" s="9">
        <f>VLOOKUP($A:$A,Sales!$B:$H,4,FALSE)</f>
        <v>1</v>
      </c>
      <c r="L648" s="5">
        <f t="shared" si="10"/>
        <v>4794</v>
      </c>
    </row>
    <row r="649" spans="1:12" x14ac:dyDescent="0.3">
      <c r="A649">
        <v>1075</v>
      </c>
      <c r="B649">
        <v>2006</v>
      </c>
      <c r="C649">
        <v>3019</v>
      </c>
      <c r="D649" t="str">
        <f>VLOOKUP('Sales table'!$A:$A,Customers!$A:$H,2,FALSE)</f>
        <v>Alexa Potts</v>
      </c>
      <c r="E649">
        <f>VLOOKUP('Sales table'!$A:$A,Customers!$A:$H,4,FALSE)</f>
        <v>44</v>
      </c>
      <c r="F649" t="str">
        <f>VLOOKUP('Sales table'!$A:$A,Customers!$A:$H,5,FALSE)</f>
        <v>Bangalore</v>
      </c>
      <c r="G649" t="str">
        <f>VLOOKUP($B:$B,Products!$A:$D,2,FALSE)</f>
        <v>Crackers Pack</v>
      </c>
      <c r="H649" t="str">
        <f>VLOOKUP($B:$B,Products!$A:$D,3,FALSE)</f>
        <v>Crackers</v>
      </c>
      <c r="I649">
        <f>VLOOKUP($B:$B,Products!$A:$D,4,FALSE)</f>
        <v>12060</v>
      </c>
      <c r="J649" s="4">
        <f>VLOOKUP($A:$A,Sales!$B:$H,6,FALSE)</f>
        <v>45612</v>
      </c>
      <c r="K649" s="9">
        <f>VLOOKUP($A:$A,Sales!$B:$H,4,FALSE)</f>
        <v>1</v>
      </c>
      <c r="L649" s="5">
        <f t="shared" si="10"/>
        <v>12060</v>
      </c>
    </row>
    <row r="650" spans="1:12" x14ac:dyDescent="0.3">
      <c r="A650">
        <v>1031</v>
      </c>
      <c r="B650">
        <v>2019</v>
      </c>
      <c r="C650">
        <v>3018</v>
      </c>
      <c r="D650" t="str">
        <f>VLOOKUP('Sales table'!$A:$A,Customers!$A:$H,2,FALSE)</f>
        <v>William Smith</v>
      </c>
      <c r="E650">
        <f>VLOOKUP('Sales table'!$A:$A,Customers!$A:$H,4,FALSE)</f>
        <v>46</v>
      </c>
      <c r="F650" t="str">
        <f>VLOOKUP('Sales table'!$A:$A,Customers!$A:$H,5,FALSE)</f>
        <v>Hyderabad</v>
      </c>
      <c r="G650" t="str">
        <f>VLOOKUP($B:$B,Products!$A:$D,2,FALSE)</f>
        <v>Designer Kurti</v>
      </c>
      <c r="H650" t="str">
        <f>VLOOKUP($B:$B,Products!$A:$D,3,FALSE)</f>
        <v>Clothing</v>
      </c>
      <c r="I650">
        <f>VLOOKUP($B:$B,Products!$A:$D,4,FALSE)</f>
        <v>13620</v>
      </c>
      <c r="J650" s="4">
        <f>VLOOKUP($A:$A,Sales!$B:$H,6,FALSE)</f>
        <v>45612</v>
      </c>
      <c r="K650" s="9">
        <f>VLOOKUP($A:$A,Sales!$B:$H,4,FALSE)</f>
        <v>1</v>
      </c>
      <c r="L650" s="5">
        <f t="shared" si="10"/>
        <v>13620</v>
      </c>
    </row>
    <row r="651" spans="1:12" x14ac:dyDescent="0.3">
      <c r="A651">
        <v>1067</v>
      </c>
      <c r="B651">
        <v>2005</v>
      </c>
      <c r="C651">
        <v>3001</v>
      </c>
      <c r="D651" t="str">
        <f>VLOOKUP('Sales table'!$A:$A,Customers!$A:$H,2,FALSE)</f>
        <v>Carrie Landry</v>
      </c>
      <c r="E651">
        <f>VLOOKUP('Sales table'!$A:$A,Customers!$A:$H,4,FALSE)</f>
        <v>39</v>
      </c>
      <c r="F651" t="str">
        <f>VLOOKUP('Sales table'!$A:$A,Customers!$A:$H,5,FALSE)</f>
        <v>Bangalore</v>
      </c>
      <c r="G651" t="str">
        <f>VLOOKUP($B:$B,Products!$A:$D,2,FALSE)</f>
        <v>LED Lamp</v>
      </c>
      <c r="H651" t="str">
        <f>VLOOKUP($B:$B,Products!$A:$D,3,FALSE)</f>
        <v>Home Decor</v>
      </c>
      <c r="I651">
        <f>VLOOKUP($B:$B,Products!$A:$D,4,FALSE)</f>
        <v>3828</v>
      </c>
      <c r="J651" s="4">
        <f>VLOOKUP($A:$A,Sales!$B:$H,6,FALSE)</f>
        <v>45595</v>
      </c>
      <c r="K651" s="9">
        <f>VLOOKUP($A:$A,Sales!$B:$H,4,FALSE)</f>
        <v>5</v>
      </c>
      <c r="L651" s="5">
        <f t="shared" si="10"/>
        <v>19140</v>
      </c>
    </row>
    <row r="652" spans="1:12" x14ac:dyDescent="0.3">
      <c r="A652">
        <v>1295</v>
      </c>
      <c r="B652">
        <v>2024</v>
      </c>
      <c r="C652">
        <v>3029</v>
      </c>
      <c r="D652" t="str">
        <f>VLOOKUP('Sales table'!$A:$A,Customers!$A:$H,2,FALSE)</f>
        <v>Alicia Wallace</v>
      </c>
      <c r="E652">
        <f>VLOOKUP('Sales table'!$A:$A,Customers!$A:$H,4,FALSE)</f>
        <v>34</v>
      </c>
      <c r="F652" t="str">
        <f>VLOOKUP('Sales table'!$A:$A,Customers!$A:$H,5,FALSE)</f>
        <v>Mumbai</v>
      </c>
      <c r="G652" t="str">
        <f>VLOOKUP($B:$B,Products!$A:$D,2,FALSE)</f>
        <v>Perfume Gift Set</v>
      </c>
      <c r="H652" t="str">
        <f>VLOOKUP($B:$B,Products!$A:$D,3,FALSE)</f>
        <v>Accessories</v>
      </c>
      <c r="I652">
        <f>VLOOKUP($B:$B,Products!$A:$D,4,FALSE)</f>
        <v>16272</v>
      </c>
      <c r="J652" s="4">
        <f>VLOOKUP($A:$A,Sales!$B:$H,6,FALSE)</f>
        <v>45576</v>
      </c>
      <c r="K652" s="9">
        <f>VLOOKUP($A:$A,Sales!$B:$H,4,FALSE)</f>
        <v>2</v>
      </c>
      <c r="L652" s="5">
        <f t="shared" si="10"/>
        <v>32544</v>
      </c>
    </row>
    <row r="653" spans="1:12" x14ac:dyDescent="0.3">
      <c r="A653">
        <v>1142</v>
      </c>
      <c r="B653">
        <v>2002</v>
      </c>
      <c r="C653">
        <v>3014</v>
      </c>
      <c r="D653" t="str">
        <f>VLOOKUP('Sales table'!$A:$A,Customers!$A:$H,2,FALSE)</f>
        <v>Derek Coffey</v>
      </c>
      <c r="E653">
        <f>VLOOKUP('Sales table'!$A:$A,Customers!$A:$H,4,FALSE)</f>
        <v>21</v>
      </c>
      <c r="F653" t="str">
        <f>VLOOKUP('Sales table'!$A:$A,Customers!$A:$H,5,FALSE)</f>
        <v>Chennai</v>
      </c>
      <c r="G653" t="str">
        <f>VLOOKUP($B:$B,Products!$A:$D,2,FALSE)</f>
        <v>Saree</v>
      </c>
      <c r="H653" t="str">
        <f>VLOOKUP($B:$B,Products!$A:$D,3,FALSE)</f>
        <v>Clothing</v>
      </c>
      <c r="I653">
        <f>VLOOKUP($B:$B,Products!$A:$D,4,FALSE)</f>
        <v>9534</v>
      </c>
      <c r="J653" s="4">
        <f>VLOOKUP($A:$A,Sales!$B:$H,6,FALSE)</f>
        <v>45585</v>
      </c>
      <c r="K653" s="9">
        <f>VLOOKUP($A:$A,Sales!$B:$H,4,FALSE)</f>
        <v>5</v>
      </c>
      <c r="L653" s="5">
        <f t="shared" si="10"/>
        <v>47670</v>
      </c>
    </row>
    <row r="654" spans="1:12" x14ac:dyDescent="0.3">
      <c r="A654">
        <v>1004</v>
      </c>
      <c r="B654">
        <v>2018</v>
      </c>
      <c r="C654">
        <v>3034</v>
      </c>
      <c r="D654" t="str">
        <f>VLOOKUP('Sales table'!$A:$A,Customers!$A:$H,2,FALSE)</f>
        <v>Holly Hopkins</v>
      </c>
      <c r="E654">
        <f>VLOOKUP('Sales table'!$A:$A,Customers!$A:$H,4,FALSE)</f>
        <v>65</v>
      </c>
      <c r="F654" t="str">
        <f>VLOOKUP('Sales table'!$A:$A,Customers!$A:$H,5,FALSE)</f>
        <v>Mumbai</v>
      </c>
      <c r="G654" t="str">
        <f>VLOOKUP($B:$B,Products!$A:$D,2,FALSE)</f>
        <v>Dry Fruits Pack</v>
      </c>
      <c r="H654" t="str">
        <f>VLOOKUP($B:$B,Products!$A:$D,3,FALSE)</f>
        <v>Sweets &amp; Gifts</v>
      </c>
      <c r="I654">
        <f>VLOOKUP($B:$B,Products!$A:$D,4,FALSE)</f>
        <v>7243</v>
      </c>
      <c r="J654" s="4">
        <f>VLOOKUP($A:$A,Sales!$B:$H,6,FALSE)</f>
        <v>45579</v>
      </c>
      <c r="K654" s="9">
        <f>VLOOKUP($A:$A,Sales!$B:$H,4,FALSE)</f>
        <v>2</v>
      </c>
      <c r="L654" s="5">
        <f t="shared" si="10"/>
        <v>14486</v>
      </c>
    </row>
    <row r="655" spans="1:12" x14ac:dyDescent="0.3">
      <c r="A655">
        <v>1215</v>
      </c>
      <c r="B655">
        <v>2003</v>
      </c>
      <c r="C655">
        <v>3018</v>
      </c>
      <c r="D655" t="str">
        <f>VLOOKUP('Sales table'!$A:$A,Customers!$A:$H,2,FALSE)</f>
        <v>Brent Murphy</v>
      </c>
      <c r="E655">
        <f>VLOOKUP('Sales table'!$A:$A,Customers!$A:$H,4,FALSE)</f>
        <v>57</v>
      </c>
      <c r="F655" t="str">
        <f>VLOOKUP('Sales table'!$A:$A,Customers!$A:$H,5,FALSE)</f>
        <v>Hyderabad</v>
      </c>
      <c r="G655" t="str">
        <f>VLOOKUP($B:$B,Products!$A:$D,2,FALSE)</f>
        <v>Kurta</v>
      </c>
      <c r="H655" t="str">
        <f>VLOOKUP($B:$B,Products!$A:$D,3,FALSE)</f>
        <v>Clothing</v>
      </c>
      <c r="I655">
        <f>VLOOKUP($B:$B,Products!$A:$D,4,FALSE)</f>
        <v>13241</v>
      </c>
      <c r="J655" s="4">
        <f>VLOOKUP($A:$A,Sales!$B:$H,6,FALSE)</f>
        <v>45579</v>
      </c>
      <c r="K655" s="9">
        <f>VLOOKUP($A:$A,Sales!$B:$H,4,FALSE)</f>
        <v>2</v>
      </c>
      <c r="L655" s="5">
        <f t="shared" si="10"/>
        <v>26482</v>
      </c>
    </row>
    <row r="656" spans="1:12" x14ac:dyDescent="0.3">
      <c r="A656">
        <v>1281</v>
      </c>
      <c r="B656">
        <v>2025</v>
      </c>
      <c r="C656">
        <v>3031</v>
      </c>
      <c r="D656" t="str">
        <f>VLOOKUP('Sales table'!$A:$A,Customers!$A:$H,2,FALSE)</f>
        <v>Kristen Richards</v>
      </c>
      <c r="E656">
        <f>VLOOKUP('Sales table'!$A:$A,Customers!$A:$H,4,FALSE)</f>
        <v>41</v>
      </c>
      <c r="F656" t="str">
        <f>VLOOKUP('Sales table'!$A:$A,Customers!$A:$H,5,FALSE)</f>
        <v>Mumbai</v>
      </c>
      <c r="G656" t="str">
        <f>VLOOKUP($B:$B,Products!$A:$D,2,FALSE)</f>
        <v>Handbag</v>
      </c>
      <c r="H656" t="str">
        <f>VLOOKUP($B:$B,Products!$A:$D,3,FALSE)</f>
        <v>Accessories</v>
      </c>
      <c r="I656">
        <f>VLOOKUP($B:$B,Products!$A:$D,4,FALSE)</f>
        <v>17019</v>
      </c>
      <c r="J656" s="4">
        <f>VLOOKUP($A:$A,Sales!$B:$H,6,FALSE)</f>
        <v>45616</v>
      </c>
      <c r="K656" s="9">
        <f>VLOOKUP($A:$A,Sales!$B:$H,4,FALSE)</f>
        <v>5</v>
      </c>
      <c r="L656" s="5">
        <f t="shared" si="10"/>
        <v>85095</v>
      </c>
    </row>
    <row r="657" spans="1:12" x14ac:dyDescent="0.3">
      <c r="A657">
        <v>1003</v>
      </c>
      <c r="B657">
        <v>2016</v>
      </c>
      <c r="C657">
        <v>3014</v>
      </c>
      <c r="D657" t="str">
        <f>VLOOKUP('Sales table'!$A:$A,Customers!$A:$H,2,FALSE)</f>
        <v>Amanda Miller</v>
      </c>
      <c r="E657">
        <f>VLOOKUP('Sales table'!$A:$A,Customers!$A:$H,4,FALSE)</f>
        <v>22</v>
      </c>
      <c r="F657" t="str">
        <f>VLOOKUP('Sales table'!$A:$A,Customers!$A:$H,5,FALSE)</f>
        <v>Chennai</v>
      </c>
      <c r="G657" t="str">
        <f>VLOOKUP($B:$B,Products!$A:$D,2,FALSE)</f>
        <v>Fairy Lights</v>
      </c>
      <c r="H657" t="str">
        <f>VLOOKUP($B:$B,Products!$A:$D,3,FALSE)</f>
        <v>Home Decor</v>
      </c>
      <c r="I657">
        <f>VLOOKUP($B:$B,Products!$A:$D,4,FALSE)</f>
        <v>12242</v>
      </c>
      <c r="J657" s="4">
        <f>VLOOKUP($A:$A,Sales!$B:$H,6,FALSE)</f>
        <v>45598</v>
      </c>
      <c r="K657" s="9">
        <f>VLOOKUP($A:$A,Sales!$B:$H,4,FALSE)</f>
        <v>4</v>
      </c>
      <c r="L657" s="5">
        <f t="shared" si="10"/>
        <v>48968</v>
      </c>
    </row>
    <row r="658" spans="1:12" x14ac:dyDescent="0.3">
      <c r="A658">
        <v>1005</v>
      </c>
      <c r="B658">
        <v>2007</v>
      </c>
      <c r="C658">
        <v>3002</v>
      </c>
      <c r="D658" t="str">
        <f>VLOOKUP('Sales table'!$A:$A,Customers!$A:$H,2,FALSE)</f>
        <v>Nathan Porter</v>
      </c>
      <c r="E658">
        <f>VLOOKUP('Sales table'!$A:$A,Customers!$A:$H,4,FALSE)</f>
        <v>49</v>
      </c>
      <c r="F658" t="str">
        <f>VLOOKUP('Sales table'!$A:$A,Customers!$A:$H,5,FALSE)</f>
        <v>Mumbai</v>
      </c>
      <c r="G658" t="str">
        <f>VLOOKUP($B:$B,Products!$A:$D,2,FALSE)</f>
        <v>Gift Hamper</v>
      </c>
      <c r="H658" t="str">
        <f>VLOOKUP($B:$B,Products!$A:$D,3,FALSE)</f>
        <v>Sweets &amp; Gifts</v>
      </c>
      <c r="I658">
        <f>VLOOKUP($B:$B,Products!$A:$D,4,FALSE)</f>
        <v>3412</v>
      </c>
      <c r="J658" s="4">
        <f>VLOOKUP($A:$A,Sales!$B:$H,6,FALSE)</f>
        <v>45604</v>
      </c>
      <c r="K658" s="9">
        <f>VLOOKUP($A:$A,Sales!$B:$H,4,FALSE)</f>
        <v>4</v>
      </c>
      <c r="L658" s="5">
        <f t="shared" si="10"/>
        <v>13648</v>
      </c>
    </row>
    <row r="659" spans="1:12" x14ac:dyDescent="0.3">
      <c r="A659">
        <v>1231</v>
      </c>
      <c r="B659">
        <v>2004</v>
      </c>
      <c r="C659">
        <v>3021</v>
      </c>
      <c r="D659" t="str">
        <f>VLOOKUP('Sales table'!$A:$A,Customers!$A:$H,2,FALSE)</f>
        <v>William Campbell</v>
      </c>
      <c r="E659">
        <f>VLOOKUP('Sales table'!$A:$A,Customers!$A:$H,4,FALSE)</f>
        <v>37</v>
      </c>
      <c r="F659" t="str">
        <f>VLOOKUP('Sales table'!$A:$A,Customers!$A:$H,5,FALSE)</f>
        <v>Hyderabad</v>
      </c>
      <c r="G659" t="str">
        <f>VLOOKUP($B:$B,Products!$A:$D,2,FALSE)</f>
        <v>Smartphone</v>
      </c>
      <c r="H659" t="str">
        <f>VLOOKUP($B:$B,Products!$A:$D,3,FALSE)</f>
        <v>Electronics</v>
      </c>
      <c r="I659">
        <f>VLOOKUP($B:$B,Products!$A:$D,4,FALSE)</f>
        <v>4952</v>
      </c>
      <c r="J659" s="4">
        <f>VLOOKUP($A:$A,Sales!$B:$H,6,FALSE)</f>
        <v>45606</v>
      </c>
      <c r="K659" s="9">
        <f>VLOOKUP($A:$A,Sales!$B:$H,4,FALSE)</f>
        <v>3</v>
      </c>
      <c r="L659" s="5">
        <f t="shared" si="10"/>
        <v>14856</v>
      </c>
    </row>
    <row r="660" spans="1:12" x14ac:dyDescent="0.3">
      <c r="A660">
        <v>1146</v>
      </c>
      <c r="B660">
        <v>2015</v>
      </c>
      <c r="C660">
        <v>3027</v>
      </c>
      <c r="D660" t="str">
        <f>VLOOKUP('Sales table'!$A:$A,Customers!$A:$H,2,FALSE)</f>
        <v>Angela Martin</v>
      </c>
      <c r="E660">
        <f>VLOOKUP('Sales table'!$A:$A,Customers!$A:$H,4,FALSE)</f>
        <v>61</v>
      </c>
      <c r="F660" t="str">
        <f>VLOOKUP('Sales table'!$A:$A,Customers!$A:$H,5,FALSE)</f>
        <v>Bangalore</v>
      </c>
      <c r="G660" t="str">
        <f>VLOOKUP($B:$B,Products!$A:$D,2,FALSE)</f>
        <v>Candle Set</v>
      </c>
      <c r="H660" t="str">
        <f>VLOOKUP($B:$B,Products!$A:$D,3,FALSE)</f>
        <v>Home Decor</v>
      </c>
      <c r="I660">
        <f>VLOOKUP($B:$B,Products!$A:$D,4,FALSE)</f>
        <v>17604</v>
      </c>
      <c r="J660" s="4">
        <f>VLOOKUP($A:$A,Sales!$B:$H,6,FALSE)</f>
        <v>45608</v>
      </c>
      <c r="K660" s="9">
        <f>VLOOKUP($A:$A,Sales!$B:$H,4,FALSE)</f>
        <v>1</v>
      </c>
      <c r="L660" s="5">
        <f t="shared" si="10"/>
        <v>17604</v>
      </c>
    </row>
    <row r="661" spans="1:12" x14ac:dyDescent="0.3">
      <c r="A661">
        <v>1291</v>
      </c>
      <c r="B661">
        <v>2024</v>
      </c>
      <c r="C661">
        <v>3035</v>
      </c>
      <c r="D661" t="str">
        <f>VLOOKUP('Sales table'!$A:$A,Customers!$A:$H,2,FALSE)</f>
        <v>Mr. Robert Lee</v>
      </c>
      <c r="E661">
        <f>VLOOKUP('Sales table'!$A:$A,Customers!$A:$H,4,FALSE)</f>
        <v>45</v>
      </c>
      <c r="F661" t="str">
        <f>VLOOKUP('Sales table'!$A:$A,Customers!$A:$H,5,FALSE)</f>
        <v>Pune</v>
      </c>
      <c r="G661" t="str">
        <f>VLOOKUP($B:$B,Products!$A:$D,2,FALSE)</f>
        <v>Perfume Gift Set</v>
      </c>
      <c r="H661" t="str">
        <f>VLOOKUP($B:$B,Products!$A:$D,3,FALSE)</f>
        <v>Accessories</v>
      </c>
      <c r="I661">
        <f>VLOOKUP($B:$B,Products!$A:$D,4,FALSE)</f>
        <v>16272</v>
      </c>
      <c r="J661" s="4">
        <f>VLOOKUP($A:$A,Sales!$B:$H,6,FALSE)</f>
        <v>45600</v>
      </c>
      <c r="K661" s="9">
        <f>VLOOKUP($A:$A,Sales!$B:$H,4,FALSE)</f>
        <v>1</v>
      </c>
      <c r="L661" s="5">
        <f t="shared" si="10"/>
        <v>16272</v>
      </c>
    </row>
    <row r="662" spans="1:12" x14ac:dyDescent="0.3">
      <c r="A662">
        <v>1087</v>
      </c>
      <c r="B662">
        <v>2004</v>
      </c>
      <c r="C662">
        <v>3021</v>
      </c>
      <c r="D662" t="str">
        <f>VLOOKUP('Sales table'!$A:$A,Customers!$A:$H,2,FALSE)</f>
        <v>Jared Romero</v>
      </c>
      <c r="E662">
        <f>VLOOKUP('Sales table'!$A:$A,Customers!$A:$H,4,FALSE)</f>
        <v>26</v>
      </c>
      <c r="F662" t="str">
        <f>VLOOKUP('Sales table'!$A:$A,Customers!$A:$H,5,FALSE)</f>
        <v>Hyderabad</v>
      </c>
      <c r="G662" t="str">
        <f>VLOOKUP($B:$B,Products!$A:$D,2,FALSE)</f>
        <v>Smartphone</v>
      </c>
      <c r="H662" t="str">
        <f>VLOOKUP($B:$B,Products!$A:$D,3,FALSE)</f>
        <v>Electronics</v>
      </c>
      <c r="I662">
        <f>VLOOKUP($B:$B,Products!$A:$D,4,FALSE)</f>
        <v>4952</v>
      </c>
      <c r="J662" s="4">
        <f>VLOOKUP($A:$A,Sales!$B:$H,6,FALSE)</f>
        <v>45601</v>
      </c>
      <c r="K662" s="9">
        <f>VLOOKUP($A:$A,Sales!$B:$H,4,FALSE)</f>
        <v>5</v>
      </c>
      <c r="L662" s="5">
        <f t="shared" si="10"/>
        <v>24760</v>
      </c>
    </row>
    <row r="663" spans="1:12" x14ac:dyDescent="0.3">
      <c r="A663">
        <v>1035</v>
      </c>
      <c r="B663">
        <v>2006</v>
      </c>
      <c r="C663">
        <v>3009</v>
      </c>
      <c r="D663" t="str">
        <f>VLOOKUP('Sales table'!$A:$A,Customers!$A:$H,2,FALSE)</f>
        <v>Debra Robinson</v>
      </c>
      <c r="E663">
        <f>VLOOKUP('Sales table'!$A:$A,Customers!$A:$H,4,FALSE)</f>
        <v>39</v>
      </c>
      <c r="F663" t="str">
        <f>VLOOKUP('Sales table'!$A:$A,Customers!$A:$H,5,FALSE)</f>
        <v>Bangalore</v>
      </c>
      <c r="G663" t="str">
        <f>VLOOKUP($B:$B,Products!$A:$D,2,FALSE)</f>
        <v>Crackers Pack</v>
      </c>
      <c r="H663" t="str">
        <f>VLOOKUP($B:$B,Products!$A:$D,3,FALSE)</f>
        <v>Crackers</v>
      </c>
      <c r="I663">
        <f>VLOOKUP($B:$B,Products!$A:$D,4,FALSE)</f>
        <v>12060</v>
      </c>
      <c r="J663" s="4">
        <f>VLOOKUP($A:$A,Sales!$B:$H,6,FALSE)</f>
        <v>45610</v>
      </c>
      <c r="K663" s="9">
        <f>VLOOKUP($A:$A,Sales!$B:$H,4,FALSE)</f>
        <v>4</v>
      </c>
      <c r="L663" s="5">
        <f t="shared" si="10"/>
        <v>48240</v>
      </c>
    </row>
    <row r="664" spans="1:12" x14ac:dyDescent="0.3">
      <c r="A664">
        <v>1120</v>
      </c>
      <c r="B664">
        <v>2023</v>
      </c>
      <c r="C664">
        <v>3013</v>
      </c>
      <c r="D664" t="str">
        <f>VLOOKUP('Sales table'!$A:$A,Customers!$A:$H,2,FALSE)</f>
        <v>Tracey Gibson</v>
      </c>
      <c r="E664">
        <f>VLOOKUP('Sales table'!$A:$A,Customers!$A:$H,4,FALSE)</f>
        <v>57</v>
      </c>
      <c r="F664" t="str">
        <f>VLOOKUP('Sales table'!$A:$A,Customers!$A:$H,5,FALSE)</f>
        <v>Mumbai</v>
      </c>
      <c r="G664" t="str">
        <f>VLOOKUP($B:$B,Products!$A:$D,2,FALSE)</f>
        <v>Kids Wear</v>
      </c>
      <c r="H664" t="str">
        <f>VLOOKUP($B:$B,Products!$A:$D,3,FALSE)</f>
        <v>Clothing</v>
      </c>
      <c r="I664">
        <f>VLOOKUP($B:$B,Products!$A:$D,4,FALSE)</f>
        <v>4794</v>
      </c>
      <c r="J664" s="4">
        <f>VLOOKUP($A:$A,Sales!$B:$H,6,FALSE)</f>
        <v>45615</v>
      </c>
      <c r="K664" s="9">
        <f>VLOOKUP($A:$A,Sales!$B:$H,4,FALSE)</f>
        <v>4</v>
      </c>
      <c r="L664" s="5">
        <f t="shared" si="10"/>
        <v>19176</v>
      </c>
    </row>
    <row r="665" spans="1:12" x14ac:dyDescent="0.3">
      <c r="A665">
        <v>1169</v>
      </c>
      <c r="B665">
        <v>2005</v>
      </c>
      <c r="C665">
        <v>3008</v>
      </c>
      <c r="D665" t="str">
        <f>VLOOKUP('Sales table'!$A:$A,Customers!$A:$H,2,FALSE)</f>
        <v>Antonio Mora</v>
      </c>
      <c r="E665">
        <f>VLOOKUP('Sales table'!$A:$A,Customers!$A:$H,4,FALSE)</f>
        <v>37</v>
      </c>
      <c r="F665" t="str">
        <f>VLOOKUP('Sales table'!$A:$A,Customers!$A:$H,5,FALSE)</f>
        <v>Delhi</v>
      </c>
      <c r="G665" t="str">
        <f>VLOOKUP($B:$B,Products!$A:$D,2,FALSE)</f>
        <v>LED Lamp</v>
      </c>
      <c r="H665" t="str">
        <f>VLOOKUP($B:$B,Products!$A:$D,3,FALSE)</f>
        <v>Home Decor</v>
      </c>
      <c r="I665">
        <f>VLOOKUP($B:$B,Products!$A:$D,4,FALSE)</f>
        <v>3828</v>
      </c>
      <c r="J665" s="4">
        <f>VLOOKUP($A:$A,Sales!$B:$H,6,FALSE)</f>
        <v>45597</v>
      </c>
      <c r="K665" s="9">
        <f>VLOOKUP($A:$A,Sales!$B:$H,4,FALSE)</f>
        <v>3</v>
      </c>
      <c r="L665" s="5">
        <f t="shared" si="10"/>
        <v>11484</v>
      </c>
    </row>
    <row r="666" spans="1:12" x14ac:dyDescent="0.3">
      <c r="A666">
        <v>1287</v>
      </c>
      <c r="B666">
        <v>2019</v>
      </c>
      <c r="C666">
        <v>3001</v>
      </c>
      <c r="D666" t="str">
        <f>VLOOKUP('Sales table'!$A:$A,Customers!$A:$H,2,FALSE)</f>
        <v>David White</v>
      </c>
      <c r="E666">
        <f>VLOOKUP('Sales table'!$A:$A,Customers!$A:$H,4,FALSE)</f>
        <v>29</v>
      </c>
      <c r="F666" t="str">
        <f>VLOOKUP('Sales table'!$A:$A,Customers!$A:$H,5,FALSE)</f>
        <v>Pune</v>
      </c>
      <c r="G666" t="str">
        <f>VLOOKUP($B:$B,Products!$A:$D,2,FALSE)</f>
        <v>Designer Kurti</v>
      </c>
      <c r="H666" t="str">
        <f>VLOOKUP($B:$B,Products!$A:$D,3,FALSE)</f>
        <v>Clothing</v>
      </c>
      <c r="I666">
        <f>VLOOKUP($B:$B,Products!$A:$D,4,FALSE)</f>
        <v>13620</v>
      </c>
      <c r="J666" s="4">
        <f>VLOOKUP($A:$A,Sales!$B:$H,6,FALSE)</f>
        <v>45598</v>
      </c>
      <c r="K666" s="9">
        <f>VLOOKUP($A:$A,Sales!$B:$H,4,FALSE)</f>
        <v>5</v>
      </c>
      <c r="L666" s="5">
        <f t="shared" si="10"/>
        <v>68100</v>
      </c>
    </row>
    <row r="667" spans="1:12" x14ac:dyDescent="0.3">
      <c r="A667">
        <v>1115</v>
      </c>
      <c r="B667">
        <v>2007</v>
      </c>
      <c r="C667">
        <v>3012</v>
      </c>
      <c r="D667" t="str">
        <f>VLOOKUP('Sales table'!$A:$A,Customers!$A:$H,2,FALSE)</f>
        <v>Valerie Winters</v>
      </c>
      <c r="E667">
        <f>VLOOKUP('Sales table'!$A:$A,Customers!$A:$H,4,FALSE)</f>
        <v>61</v>
      </c>
      <c r="F667" t="str">
        <f>VLOOKUP('Sales table'!$A:$A,Customers!$A:$H,5,FALSE)</f>
        <v>Delhi</v>
      </c>
      <c r="G667" t="str">
        <f>VLOOKUP($B:$B,Products!$A:$D,2,FALSE)</f>
        <v>Gift Hamper</v>
      </c>
      <c r="H667" t="str">
        <f>VLOOKUP($B:$B,Products!$A:$D,3,FALSE)</f>
        <v>Sweets &amp; Gifts</v>
      </c>
      <c r="I667">
        <f>VLOOKUP($B:$B,Products!$A:$D,4,FALSE)</f>
        <v>3412</v>
      </c>
      <c r="J667" s="4">
        <f>VLOOKUP($A:$A,Sales!$B:$H,6,FALSE)</f>
        <v>45593</v>
      </c>
      <c r="K667" s="9">
        <f>VLOOKUP($A:$A,Sales!$B:$H,4,FALSE)</f>
        <v>4</v>
      </c>
      <c r="L667" s="5">
        <f t="shared" si="10"/>
        <v>13648</v>
      </c>
    </row>
    <row r="668" spans="1:12" x14ac:dyDescent="0.3">
      <c r="A668">
        <v>1143</v>
      </c>
      <c r="B668">
        <v>2004</v>
      </c>
      <c r="C668">
        <v>3001</v>
      </c>
      <c r="D668" t="str">
        <f>VLOOKUP('Sales table'!$A:$A,Customers!$A:$H,2,FALSE)</f>
        <v>Corey Kidd</v>
      </c>
      <c r="E668">
        <f>VLOOKUP('Sales table'!$A:$A,Customers!$A:$H,4,FALSE)</f>
        <v>58</v>
      </c>
      <c r="F668" t="str">
        <f>VLOOKUP('Sales table'!$A:$A,Customers!$A:$H,5,FALSE)</f>
        <v>Hyderabad</v>
      </c>
      <c r="G668" t="str">
        <f>VLOOKUP($B:$B,Products!$A:$D,2,FALSE)</f>
        <v>Smartphone</v>
      </c>
      <c r="H668" t="str">
        <f>VLOOKUP($B:$B,Products!$A:$D,3,FALSE)</f>
        <v>Electronics</v>
      </c>
      <c r="I668">
        <f>VLOOKUP($B:$B,Products!$A:$D,4,FALSE)</f>
        <v>4952</v>
      </c>
      <c r="J668" s="4">
        <f>VLOOKUP($A:$A,Sales!$B:$H,6,FALSE)</f>
        <v>45593</v>
      </c>
      <c r="K668" s="9">
        <f>VLOOKUP($A:$A,Sales!$B:$H,4,FALSE)</f>
        <v>5</v>
      </c>
      <c r="L668" s="5">
        <f t="shared" si="10"/>
        <v>24760</v>
      </c>
    </row>
    <row r="669" spans="1:12" x14ac:dyDescent="0.3">
      <c r="A669">
        <v>1105</v>
      </c>
      <c r="B669">
        <v>2001</v>
      </c>
      <c r="C669">
        <v>3031</v>
      </c>
      <c r="D669" t="str">
        <f>VLOOKUP('Sales table'!$A:$A,Customers!$A:$H,2,FALSE)</f>
        <v>Randall Odonnell</v>
      </c>
      <c r="E669">
        <f>VLOOKUP('Sales table'!$A:$A,Customers!$A:$H,4,FALSE)</f>
        <v>33</v>
      </c>
      <c r="F669" t="str">
        <f>VLOOKUP('Sales table'!$A:$A,Customers!$A:$H,5,FALSE)</f>
        <v>Mumbai</v>
      </c>
      <c r="G669" t="str">
        <f>VLOOKUP($B:$B,Products!$A:$D,2,FALSE)</f>
        <v>Sweets Box</v>
      </c>
      <c r="H669" t="str">
        <f>VLOOKUP($B:$B,Products!$A:$D,3,FALSE)</f>
        <v>Sweets &amp; Gifts</v>
      </c>
      <c r="I669">
        <f>VLOOKUP($B:$B,Products!$A:$D,4,FALSE)</f>
        <v>7228</v>
      </c>
      <c r="J669" s="4">
        <f>VLOOKUP($A:$A,Sales!$B:$H,6,FALSE)</f>
        <v>45600</v>
      </c>
      <c r="K669" s="9">
        <f>VLOOKUP($A:$A,Sales!$B:$H,4,FALSE)</f>
        <v>1</v>
      </c>
      <c r="L669" s="5">
        <f t="shared" si="10"/>
        <v>7228</v>
      </c>
    </row>
    <row r="670" spans="1:12" x14ac:dyDescent="0.3">
      <c r="A670">
        <v>1138</v>
      </c>
      <c r="B670">
        <v>2012</v>
      </c>
      <c r="C670">
        <v>3007</v>
      </c>
      <c r="D670" t="str">
        <f>VLOOKUP('Sales table'!$A:$A,Customers!$A:$H,2,FALSE)</f>
        <v>Timothy Wells</v>
      </c>
      <c r="E670">
        <f>VLOOKUP('Sales table'!$A:$A,Customers!$A:$H,4,FALSE)</f>
        <v>18</v>
      </c>
      <c r="F670" t="str">
        <f>VLOOKUP('Sales table'!$A:$A,Customers!$A:$H,5,FALSE)</f>
        <v>Hyderabad</v>
      </c>
      <c r="G670" t="str">
        <f>VLOOKUP($B:$B,Products!$A:$D,2,FALSE)</f>
        <v>Wall Hanging</v>
      </c>
      <c r="H670" t="str">
        <f>VLOOKUP($B:$B,Products!$A:$D,3,FALSE)</f>
        <v>Home Decor</v>
      </c>
      <c r="I670">
        <f>VLOOKUP($B:$B,Products!$A:$D,4,FALSE)</f>
        <v>11867</v>
      </c>
      <c r="J670" s="4">
        <f>VLOOKUP($A:$A,Sales!$B:$H,6,FALSE)</f>
        <v>45586</v>
      </c>
      <c r="K670" s="9">
        <f>VLOOKUP($A:$A,Sales!$B:$H,4,FALSE)</f>
        <v>1</v>
      </c>
      <c r="L670" s="5">
        <f t="shared" si="10"/>
        <v>11867</v>
      </c>
    </row>
    <row r="671" spans="1:12" x14ac:dyDescent="0.3">
      <c r="A671">
        <v>1245</v>
      </c>
      <c r="B671">
        <v>2021</v>
      </c>
      <c r="C671">
        <v>3023</v>
      </c>
      <c r="D671" t="str">
        <f>VLOOKUP('Sales table'!$A:$A,Customers!$A:$H,2,FALSE)</f>
        <v>Donna Wheeler</v>
      </c>
      <c r="E671">
        <f>VLOOKUP('Sales table'!$A:$A,Customers!$A:$H,4,FALSE)</f>
        <v>61</v>
      </c>
      <c r="F671" t="str">
        <f>VLOOKUP('Sales table'!$A:$A,Customers!$A:$H,5,FALSE)</f>
        <v>Hyderabad</v>
      </c>
      <c r="G671" t="str">
        <f>VLOOKUP($B:$B,Products!$A:$D,2,FALSE)</f>
        <v>Smartwatch</v>
      </c>
      <c r="H671" t="str">
        <f>VLOOKUP($B:$B,Products!$A:$D,3,FALSE)</f>
        <v>Electronics</v>
      </c>
      <c r="I671">
        <f>VLOOKUP($B:$B,Products!$A:$D,4,FALSE)</f>
        <v>17586</v>
      </c>
      <c r="J671" s="4">
        <f>VLOOKUP($A:$A,Sales!$B:$H,6,FALSE)</f>
        <v>45576</v>
      </c>
      <c r="K671" s="9">
        <f>VLOOKUP($A:$A,Sales!$B:$H,4,FALSE)</f>
        <v>4</v>
      </c>
      <c r="L671" s="5">
        <f t="shared" si="10"/>
        <v>70344</v>
      </c>
    </row>
    <row r="672" spans="1:12" x14ac:dyDescent="0.3">
      <c r="A672">
        <v>1055</v>
      </c>
      <c r="B672">
        <v>2024</v>
      </c>
      <c r="C672">
        <v>3020</v>
      </c>
      <c r="D672" t="str">
        <f>VLOOKUP('Sales table'!$A:$A,Customers!$A:$H,2,FALSE)</f>
        <v>Tina Armstrong</v>
      </c>
      <c r="E672">
        <f>VLOOKUP('Sales table'!$A:$A,Customers!$A:$H,4,FALSE)</f>
        <v>44</v>
      </c>
      <c r="F672" t="str">
        <f>VLOOKUP('Sales table'!$A:$A,Customers!$A:$H,5,FALSE)</f>
        <v>Mumbai</v>
      </c>
      <c r="G672" t="str">
        <f>VLOOKUP($B:$B,Products!$A:$D,2,FALSE)</f>
        <v>Perfume Gift Set</v>
      </c>
      <c r="H672" t="str">
        <f>VLOOKUP($B:$B,Products!$A:$D,3,FALSE)</f>
        <v>Accessories</v>
      </c>
      <c r="I672">
        <f>VLOOKUP($B:$B,Products!$A:$D,4,FALSE)</f>
        <v>16272</v>
      </c>
      <c r="J672" s="4">
        <f>VLOOKUP($A:$A,Sales!$B:$H,6,FALSE)</f>
        <v>45582</v>
      </c>
      <c r="K672" s="9">
        <f>VLOOKUP($A:$A,Sales!$B:$H,4,FALSE)</f>
        <v>1</v>
      </c>
      <c r="L672" s="5">
        <f t="shared" si="10"/>
        <v>16272</v>
      </c>
    </row>
    <row r="673" spans="1:12" x14ac:dyDescent="0.3">
      <c r="A673">
        <v>1081</v>
      </c>
      <c r="B673">
        <v>2016</v>
      </c>
      <c r="C673">
        <v>3007</v>
      </c>
      <c r="D673" t="str">
        <f>VLOOKUP('Sales table'!$A:$A,Customers!$A:$H,2,FALSE)</f>
        <v>Lori Cox</v>
      </c>
      <c r="E673">
        <f>VLOOKUP('Sales table'!$A:$A,Customers!$A:$H,4,FALSE)</f>
        <v>59</v>
      </c>
      <c r="F673" t="str">
        <f>VLOOKUP('Sales table'!$A:$A,Customers!$A:$H,5,FALSE)</f>
        <v>Mumbai</v>
      </c>
      <c r="G673" t="str">
        <f>VLOOKUP($B:$B,Products!$A:$D,2,FALSE)</f>
        <v>Fairy Lights</v>
      </c>
      <c r="H673" t="str">
        <f>VLOOKUP($B:$B,Products!$A:$D,3,FALSE)</f>
        <v>Home Decor</v>
      </c>
      <c r="I673">
        <f>VLOOKUP($B:$B,Products!$A:$D,4,FALSE)</f>
        <v>12242</v>
      </c>
      <c r="J673" s="4">
        <f>VLOOKUP($A:$A,Sales!$B:$H,6,FALSE)</f>
        <v>45598</v>
      </c>
      <c r="K673" s="9">
        <f>VLOOKUP($A:$A,Sales!$B:$H,4,FALSE)</f>
        <v>4</v>
      </c>
      <c r="L673" s="5">
        <f t="shared" si="10"/>
        <v>48968</v>
      </c>
    </row>
    <row r="674" spans="1:12" x14ac:dyDescent="0.3">
      <c r="A674">
        <v>1090</v>
      </c>
      <c r="B674">
        <v>2023</v>
      </c>
      <c r="C674">
        <v>3032</v>
      </c>
      <c r="D674" t="str">
        <f>VLOOKUP('Sales table'!$A:$A,Customers!$A:$H,2,FALSE)</f>
        <v>Colleen Aguilar</v>
      </c>
      <c r="E674">
        <f>VLOOKUP('Sales table'!$A:$A,Customers!$A:$H,4,FALSE)</f>
        <v>55</v>
      </c>
      <c r="F674" t="str">
        <f>VLOOKUP('Sales table'!$A:$A,Customers!$A:$H,5,FALSE)</f>
        <v>Mumbai</v>
      </c>
      <c r="G674" t="str">
        <f>VLOOKUP($B:$B,Products!$A:$D,2,FALSE)</f>
        <v>Kids Wear</v>
      </c>
      <c r="H674" t="str">
        <f>VLOOKUP($B:$B,Products!$A:$D,3,FALSE)</f>
        <v>Clothing</v>
      </c>
      <c r="I674">
        <f>VLOOKUP($B:$B,Products!$A:$D,4,FALSE)</f>
        <v>4794</v>
      </c>
      <c r="J674" s="4">
        <f>VLOOKUP($A:$A,Sales!$B:$H,6,FALSE)</f>
        <v>45585</v>
      </c>
      <c r="K674" s="9">
        <f>VLOOKUP($A:$A,Sales!$B:$H,4,FALSE)</f>
        <v>3</v>
      </c>
      <c r="L674" s="5">
        <f t="shared" si="10"/>
        <v>14382</v>
      </c>
    </row>
    <row r="675" spans="1:12" x14ac:dyDescent="0.3">
      <c r="A675">
        <v>1258</v>
      </c>
      <c r="B675">
        <v>2006</v>
      </c>
      <c r="C675">
        <v>3009</v>
      </c>
      <c r="D675" t="str">
        <f>VLOOKUP('Sales table'!$A:$A,Customers!$A:$H,2,FALSE)</f>
        <v>Corey Lewis</v>
      </c>
      <c r="E675">
        <f>VLOOKUP('Sales table'!$A:$A,Customers!$A:$H,4,FALSE)</f>
        <v>39</v>
      </c>
      <c r="F675" t="str">
        <f>VLOOKUP('Sales table'!$A:$A,Customers!$A:$H,5,FALSE)</f>
        <v>Delhi</v>
      </c>
      <c r="G675" t="str">
        <f>VLOOKUP($B:$B,Products!$A:$D,2,FALSE)</f>
        <v>Crackers Pack</v>
      </c>
      <c r="H675" t="str">
        <f>VLOOKUP($B:$B,Products!$A:$D,3,FALSE)</f>
        <v>Crackers</v>
      </c>
      <c r="I675">
        <f>VLOOKUP($B:$B,Products!$A:$D,4,FALSE)</f>
        <v>12060</v>
      </c>
      <c r="J675" s="4">
        <f>VLOOKUP($A:$A,Sales!$B:$H,6,FALSE)</f>
        <v>45599</v>
      </c>
      <c r="K675" s="9">
        <f>VLOOKUP($A:$A,Sales!$B:$H,4,FALSE)</f>
        <v>2</v>
      </c>
      <c r="L675" s="5">
        <f t="shared" si="10"/>
        <v>24120</v>
      </c>
    </row>
    <row r="676" spans="1:12" x14ac:dyDescent="0.3">
      <c r="A676">
        <v>1232</v>
      </c>
      <c r="B676">
        <v>2018</v>
      </c>
      <c r="C676">
        <v>3023</v>
      </c>
      <c r="D676" t="str">
        <f>VLOOKUP('Sales table'!$A:$A,Customers!$A:$H,2,FALSE)</f>
        <v>Joshua Craig</v>
      </c>
      <c r="E676">
        <f>VLOOKUP('Sales table'!$A:$A,Customers!$A:$H,4,FALSE)</f>
        <v>29</v>
      </c>
      <c r="F676" t="str">
        <f>VLOOKUP('Sales table'!$A:$A,Customers!$A:$H,5,FALSE)</f>
        <v>Pune</v>
      </c>
      <c r="G676" t="str">
        <f>VLOOKUP($B:$B,Products!$A:$D,2,FALSE)</f>
        <v>Dry Fruits Pack</v>
      </c>
      <c r="H676" t="str">
        <f>VLOOKUP($B:$B,Products!$A:$D,3,FALSE)</f>
        <v>Sweets &amp; Gifts</v>
      </c>
      <c r="I676">
        <f>VLOOKUP($B:$B,Products!$A:$D,4,FALSE)</f>
        <v>7243</v>
      </c>
      <c r="J676" s="4">
        <f>VLOOKUP($A:$A,Sales!$B:$H,6,FALSE)</f>
        <v>45609</v>
      </c>
      <c r="K676" s="9">
        <f>VLOOKUP($A:$A,Sales!$B:$H,4,FALSE)</f>
        <v>1</v>
      </c>
      <c r="L676" s="5">
        <f t="shared" si="10"/>
        <v>7243</v>
      </c>
    </row>
    <row r="677" spans="1:12" x14ac:dyDescent="0.3">
      <c r="A677">
        <v>1090</v>
      </c>
      <c r="B677">
        <v>2011</v>
      </c>
      <c r="C677">
        <v>3030</v>
      </c>
      <c r="D677" t="str">
        <f>VLOOKUP('Sales table'!$A:$A,Customers!$A:$H,2,FALSE)</f>
        <v>Colleen Aguilar</v>
      </c>
      <c r="E677">
        <f>VLOOKUP('Sales table'!$A:$A,Customers!$A:$H,4,FALSE)</f>
        <v>55</v>
      </c>
      <c r="F677" t="str">
        <f>VLOOKUP('Sales table'!$A:$A,Customers!$A:$H,5,FALSE)</f>
        <v>Mumbai</v>
      </c>
      <c r="G677" t="str">
        <f>VLOOKUP($B:$B,Products!$A:$D,2,FALSE)</f>
        <v>Festive Thali</v>
      </c>
      <c r="H677" t="str">
        <f>VLOOKUP($B:$B,Products!$A:$D,3,FALSE)</f>
        <v>Other</v>
      </c>
      <c r="I677">
        <f>VLOOKUP($B:$B,Products!$A:$D,4,FALSE)</f>
        <v>7481</v>
      </c>
      <c r="J677" s="4">
        <f>VLOOKUP($A:$A,Sales!$B:$H,6,FALSE)</f>
        <v>45585</v>
      </c>
      <c r="K677" s="9">
        <f>VLOOKUP($A:$A,Sales!$B:$H,4,FALSE)</f>
        <v>3</v>
      </c>
      <c r="L677" s="5">
        <f t="shared" si="10"/>
        <v>22443</v>
      </c>
    </row>
    <row r="678" spans="1:12" x14ac:dyDescent="0.3">
      <c r="A678">
        <v>1063</v>
      </c>
      <c r="B678">
        <v>2022</v>
      </c>
      <c r="C678">
        <v>3023</v>
      </c>
      <c r="D678" t="str">
        <f>VLOOKUP('Sales table'!$A:$A,Customers!$A:$H,2,FALSE)</f>
        <v>Michael Williams</v>
      </c>
      <c r="E678">
        <f>VLOOKUP('Sales table'!$A:$A,Customers!$A:$H,4,FALSE)</f>
        <v>60</v>
      </c>
      <c r="F678" t="str">
        <f>VLOOKUP('Sales table'!$A:$A,Customers!$A:$H,5,FALSE)</f>
        <v>Mumbai</v>
      </c>
      <c r="G678" t="str">
        <f>VLOOKUP($B:$B,Products!$A:$D,2,FALSE)</f>
        <v>Home Decor Statue</v>
      </c>
      <c r="H678" t="str">
        <f>VLOOKUP($B:$B,Products!$A:$D,3,FALSE)</f>
        <v>Home Decor</v>
      </c>
      <c r="I678">
        <f>VLOOKUP($B:$B,Products!$A:$D,4,FALSE)</f>
        <v>17149</v>
      </c>
      <c r="J678" s="4">
        <f>VLOOKUP($A:$A,Sales!$B:$H,6,FALSE)</f>
        <v>45579</v>
      </c>
      <c r="K678" s="9">
        <f>VLOOKUP($A:$A,Sales!$B:$H,4,FALSE)</f>
        <v>5</v>
      </c>
      <c r="L678" s="5">
        <f t="shared" si="10"/>
        <v>85745</v>
      </c>
    </row>
    <row r="679" spans="1:12" x14ac:dyDescent="0.3">
      <c r="A679">
        <v>1104</v>
      </c>
      <c r="B679">
        <v>2010</v>
      </c>
      <c r="C679">
        <v>3007</v>
      </c>
      <c r="D679" t="str">
        <f>VLOOKUP('Sales table'!$A:$A,Customers!$A:$H,2,FALSE)</f>
        <v>Gabriel Mcdonald</v>
      </c>
      <c r="E679">
        <f>VLOOKUP('Sales table'!$A:$A,Customers!$A:$H,4,FALSE)</f>
        <v>50</v>
      </c>
      <c r="F679" t="str">
        <f>VLOOKUP('Sales table'!$A:$A,Customers!$A:$H,5,FALSE)</f>
        <v>Hyderabad</v>
      </c>
      <c r="G679" t="str">
        <f>VLOOKUP($B:$B,Products!$A:$D,2,FALSE)</f>
        <v>Chocolate Box</v>
      </c>
      <c r="H679" t="str">
        <f>VLOOKUP($B:$B,Products!$A:$D,3,FALSE)</f>
        <v>Sweets &amp; Gifts</v>
      </c>
      <c r="I679">
        <f>VLOOKUP($B:$B,Products!$A:$D,4,FALSE)</f>
        <v>17909</v>
      </c>
      <c r="J679" s="4">
        <f>VLOOKUP($A:$A,Sales!$B:$H,6,FALSE)</f>
        <v>45605</v>
      </c>
      <c r="K679" s="9">
        <f>VLOOKUP($A:$A,Sales!$B:$H,4,FALSE)</f>
        <v>1</v>
      </c>
      <c r="L679" s="5">
        <f t="shared" si="10"/>
        <v>17909</v>
      </c>
    </row>
    <row r="680" spans="1:12" x14ac:dyDescent="0.3">
      <c r="A680">
        <v>1267</v>
      </c>
      <c r="B680">
        <v>2004</v>
      </c>
      <c r="C680">
        <v>3012</v>
      </c>
      <c r="D680" t="str">
        <f>VLOOKUP('Sales table'!$A:$A,Customers!$A:$H,2,FALSE)</f>
        <v>Sharon Cannon</v>
      </c>
      <c r="E680">
        <f>VLOOKUP('Sales table'!$A:$A,Customers!$A:$H,4,FALSE)</f>
        <v>55</v>
      </c>
      <c r="F680" t="str">
        <f>VLOOKUP('Sales table'!$A:$A,Customers!$A:$H,5,FALSE)</f>
        <v>Mumbai</v>
      </c>
      <c r="G680" t="str">
        <f>VLOOKUP($B:$B,Products!$A:$D,2,FALSE)</f>
        <v>Smartphone</v>
      </c>
      <c r="H680" t="str">
        <f>VLOOKUP($B:$B,Products!$A:$D,3,FALSE)</f>
        <v>Electronics</v>
      </c>
      <c r="I680">
        <f>VLOOKUP($B:$B,Products!$A:$D,4,FALSE)</f>
        <v>4952</v>
      </c>
      <c r="J680" s="4">
        <f>VLOOKUP($A:$A,Sales!$B:$H,6,FALSE)</f>
        <v>45593</v>
      </c>
      <c r="K680" s="9">
        <f>VLOOKUP($A:$A,Sales!$B:$H,4,FALSE)</f>
        <v>3</v>
      </c>
      <c r="L680" s="5">
        <f t="shared" si="10"/>
        <v>14856</v>
      </c>
    </row>
    <row r="681" spans="1:12" x14ac:dyDescent="0.3">
      <c r="A681">
        <v>1146</v>
      </c>
      <c r="B681">
        <v>2016</v>
      </c>
      <c r="C681">
        <v>3002</v>
      </c>
      <c r="D681" t="str">
        <f>VLOOKUP('Sales table'!$A:$A,Customers!$A:$H,2,FALSE)</f>
        <v>Angela Martin</v>
      </c>
      <c r="E681">
        <f>VLOOKUP('Sales table'!$A:$A,Customers!$A:$H,4,FALSE)</f>
        <v>61</v>
      </c>
      <c r="F681" t="str">
        <f>VLOOKUP('Sales table'!$A:$A,Customers!$A:$H,5,FALSE)</f>
        <v>Bangalore</v>
      </c>
      <c r="G681" t="str">
        <f>VLOOKUP($B:$B,Products!$A:$D,2,FALSE)</f>
        <v>Fairy Lights</v>
      </c>
      <c r="H681" t="str">
        <f>VLOOKUP($B:$B,Products!$A:$D,3,FALSE)</f>
        <v>Home Decor</v>
      </c>
      <c r="I681">
        <f>VLOOKUP($B:$B,Products!$A:$D,4,FALSE)</f>
        <v>12242</v>
      </c>
      <c r="J681" s="4">
        <f>VLOOKUP($A:$A,Sales!$B:$H,6,FALSE)</f>
        <v>45608</v>
      </c>
      <c r="K681" s="9">
        <f>VLOOKUP($A:$A,Sales!$B:$H,4,FALSE)</f>
        <v>1</v>
      </c>
      <c r="L681" s="5">
        <f t="shared" si="10"/>
        <v>12242</v>
      </c>
    </row>
    <row r="682" spans="1:12" x14ac:dyDescent="0.3">
      <c r="A682">
        <v>1258</v>
      </c>
      <c r="B682">
        <v>2003</v>
      </c>
      <c r="C682">
        <v>3021</v>
      </c>
      <c r="D682" t="str">
        <f>VLOOKUP('Sales table'!$A:$A,Customers!$A:$H,2,FALSE)</f>
        <v>Corey Lewis</v>
      </c>
      <c r="E682">
        <f>VLOOKUP('Sales table'!$A:$A,Customers!$A:$H,4,FALSE)</f>
        <v>39</v>
      </c>
      <c r="F682" t="str">
        <f>VLOOKUP('Sales table'!$A:$A,Customers!$A:$H,5,FALSE)</f>
        <v>Delhi</v>
      </c>
      <c r="G682" t="str">
        <f>VLOOKUP($B:$B,Products!$A:$D,2,FALSE)</f>
        <v>Kurta</v>
      </c>
      <c r="H682" t="str">
        <f>VLOOKUP($B:$B,Products!$A:$D,3,FALSE)</f>
        <v>Clothing</v>
      </c>
      <c r="I682">
        <f>VLOOKUP($B:$B,Products!$A:$D,4,FALSE)</f>
        <v>13241</v>
      </c>
      <c r="J682" s="4">
        <f>VLOOKUP($A:$A,Sales!$B:$H,6,FALSE)</f>
        <v>45599</v>
      </c>
      <c r="K682" s="9">
        <f>VLOOKUP($A:$A,Sales!$B:$H,4,FALSE)</f>
        <v>2</v>
      </c>
      <c r="L682" s="5">
        <f t="shared" si="10"/>
        <v>26482</v>
      </c>
    </row>
    <row r="683" spans="1:12" x14ac:dyDescent="0.3">
      <c r="A683">
        <v>1229</v>
      </c>
      <c r="B683">
        <v>2012</v>
      </c>
      <c r="C683">
        <v>3020</v>
      </c>
      <c r="D683" t="str">
        <f>VLOOKUP('Sales table'!$A:$A,Customers!$A:$H,2,FALSE)</f>
        <v>Susan Barry</v>
      </c>
      <c r="E683">
        <f>VLOOKUP('Sales table'!$A:$A,Customers!$A:$H,4,FALSE)</f>
        <v>36</v>
      </c>
      <c r="F683" t="str">
        <f>VLOOKUP('Sales table'!$A:$A,Customers!$A:$H,5,FALSE)</f>
        <v>Pune</v>
      </c>
      <c r="G683" t="str">
        <f>VLOOKUP($B:$B,Products!$A:$D,2,FALSE)</f>
        <v>Wall Hanging</v>
      </c>
      <c r="H683" t="str">
        <f>VLOOKUP($B:$B,Products!$A:$D,3,FALSE)</f>
        <v>Home Decor</v>
      </c>
      <c r="I683">
        <f>VLOOKUP($B:$B,Products!$A:$D,4,FALSE)</f>
        <v>11867</v>
      </c>
      <c r="J683" s="4">
        <f>VLOOKUP($A:$A,Sales!$B:$H,6,FALSE)</f>
        <v>45606</v>
      </c>
      <c r="K683" s="9">
        <f>VLOOKUP($A:$A,Sales!$B:$H,4,FALSE)</f>
        <v>3</v>
      </c>
      <c r="L683" s="5">
        <f t="shared" si="10"/>
        <v>35601</v>
      </c>
    </row>
    <row r="684" spans="1:12" x14ac:dyDescent="0.3">
      <c r="A684">
        <v>1119</v>
      </c>
      <c r="B684">
        <v>2022</v>
      </c>
      <c r="C684">
        <v>3014</v>
      </c>
      <c r="D684" t="str">
        <f>VLOOKUP('Sales table'!$A:$A,Customers!$A:$H,2,FALSE)</f>
        <v>Javier Calderon</v>
      </c>
      <c r="E684">
        <f>VLOOKUP('Sales table'!$A:$A,Customers!$A:$H,4,FALSE)</f>
        <v>45</v>
      </c>
      <c r="F684" t="str">
        <f>VLOOKUP('Sales table'!$A:$A,Customers!$A:$H,5,FALSE)</f>
        <v>Delhi</v>
      </c>
      <c r="G684" t="str">
        <f>VLOOKUP($B:$B,Products!$A:$D,2,FALSE)</f>
        <v>Home Decor Statue</v>
      </c>
      <c r="H684" t="str">
        <f>VLOOKUP($B:$B,Products!$A:$D,3,FALSE)</f>
        <v>Home Decor</v>
      </c>
      <c r="I684">
        <f>VLOOKUP($B:$B,Products!$A:$D,4,FALSE)</f>
        <v>17149</v>
      </c>
      <c r="J684" s="4">
        <f>VLOOKUP($A:$A,Sales!$B:$H,6,FALSE)</f>
        <v>45615</v>
      </c>
      <c r="K684" s="9">
        <f>VLOOKUP($A:$A,Sales!$B:$H,4,FALSE)</f>
        <v>4</v>
      </c>
      <c r="L684" s="5">
        <f t="shared" si="10"/>
        <v>68596</v>
      </c>
    </row>
    <row r="685" spans="1:12" x14ac:dyDescent="0.3">
      <c r="A685">
        <v>1020</v>
      </c>
      <c r="B685">
        <v>2017</v>
      </c>
      <c r="C685">
        <v>3018</v>
      </c>
      <c r="D685" t="str">
        <f>VLOOKUP('Sales table'!$A:$A,Customers!$A:$H,2,FALSE)</f>
        <v>Mallory Jackson</v>
      </c>
      <c r="E685">
        <f>VLOOKUP('Sales table'!$A:$A,Customers!$A:$H,4,FALSE)</f>
        <v>60</v>
      </c>
      <c r="F685" t="str">
        <f>VLOOKUP('Sales table'!$A:$A,Customers!$A:$H,5,FALSE)</f>
        <v>Kolkata</v>
      </c>
      <c r="G685" t="str">
        <f>VLOOKUP($B:$B,Products!$A:$D,2,FALSE)</f>
        <v>Handmade Pottery</v>
      </c>
      <c r="H685" t="str">
        <f>VLOOKUP($B:$B,Products!$A:$D,3,FALSE)</f>
        <v>Home Decor</v>
      </c>
      <c r="I685">
        <f>VLOOKUP($B:$B,Products!$A:$D,4,FALSE)</f>
        <v>8186</v>
      </c>
      <c r="J685" s="4">
        <f>VLOOKUP($A:$A,Sales!$B:$H,6,FALSE)</f>
        <v>45610</v>
      </c>
      <c r="K685" s="9">
        <f>VLOOKUP($A:$A,Sales!$B:$H,4,FALSE)</f>
        <v>4</v>
      </c>
      <c r="L685" s="5">
        <f t="shared" si="10"/>
        <v>32744</v>
      </c>
    </row>
    <row r="686" spans="1:12" x14ac:dyDescent="0.3">
      <c r="A686">
        <v>1197</v>
      </c>
      <c r="B686">
        <v>2019</v>
      </c>
      <c r="C686">
        <v>3019</v>
      </c>
      <c r="D686" t="str">
        <f>VLOOKUP('Sales table'!$A:$A,Customers!$A:$H,2,FALSE)</f>
        <v>Daniel Price</v>
      </c>
      <c r="E686">
        <f>VLOOKUP('Sales table'!$A:$A,Customers!$A:$H,4,FALSE)</f>
        <v>25</v>
      </c>
      <c r="F686" t="str">
        <f>VLOOKUP('Sales table'!$A:$A,Customers!$A:$H,5,FALSE)</f>
        <v>Kolkata</v>
      </c>
      <c r="G686" t="str">
        <f>VLOOKUP($B:$B,Products!$A:$D,2,FALSE)</f>
        <v>Designer Kurti</v>
      </c>
      <c r="H686" t="str">
        <f>VLOOKUP($B:$B,Products!$A:$D,3,FALSE)</f>
        <v>Clothing</v>
      </c>
      <c r="I686">
        <f>VLOOKUP($B:$B,Products!$A:$D,4,FALSE)</f>
        <v>13620</v>
      </c>
      <c r="J686" s="4">
        <f>VLOOKUP($A:$A,Sales!$B:$H,6,FALSE)</f>
        <v>45612</v>
      </c>
      <c r="K686" s="9">
        <f>VLOOKUP($A:$A,Sales!$B:$H,4,FALSE)</f>
        <v>5</v>
      </c>
      <c r="L686" s="5">
        <f t="shared" si="10"/>
        <v>68100</v>
      </c>
    </row>
    <row r="687" spans="1:12" x14ac:dyDescent="0.3">
      <c r="A687">
        <v>1189</v>
      </c>
      <c r="B687">
        <v>2001</v>
      </c>
      <c r="C687">
        <v>3014</v>
      </c>
      <c r="D687" t="str">
        <f>VLOOKUP('Sales table'!$A:$A,Customers!$A:$H,2,FALSE)</f>
        <v>Kaitlyn Hickman</v>
      </c>
      <c r="E687">
        <f>VLOOKUP('Sales table'!$A:$A,Customers!$A:$H,4,FALSE)</f>
        <v>21</v>
      </c>
      <c r="F687" t="str">
        <f>VLOOKUP('Sales table'!$A:$A,Customers!$A:$H,5,FALSE)</f>
        <v>Delhi</v>
      </c>
      <c r="G687" t="str">
        <f>VLOOKUP($B:$B,Products!$A:$D,2,FALSE)</f>
        <v>Sweets Box</v>
      </c>
      <c r="H687" t="str">
        <f>VLOOKUP($B:$B,Products!$A:$D,3,FALSE)</f>
        <v>Sweets &amp; Gifts</v>
      </c>
      <c r="I687">
        <f>VLOOKUP($B:$B,Products!$A:$D,4,FALSE)</f>
        <v>7228</v>
      </c>
      <c r="J687" s="4">
        <f>VLOOKUP($A:$A,Sales!$B:$H,6,FALSE)</f>
        <v>45599</v>
      </c>
      <c r="K687" s="9">
        <f>VLOOKUP($A:$A,Sales!$B:$H,4,FALSE)</f>
        <v>2</v>
      </c>
      <c r="L687" s="5">
        <f t="shared" si="10"/>
        <v>14456</v>
      </c>
    </row>
    <row r="688" spans="1:12" x14ac:dyDescent="0.3">
      <c r="A688">
        <v>1108</v>
      </c>
      <c r="B688">
        <v>2003</v>
      </c>
      <c r="C688">
        <v>3011</v>
      </c>
      <c r="D688" t="str">
        <f>VLOOKUP('Sales table'!$A:$A,Customers!$A:$H,2,FALSE)</f>
        <v>Briana Jordan</v>
      </c>
      <c r="E688">
        <f>VLOOKUP('Sales table'!$A:$A,Customers!$A:$H,4,FALSE)</f>
        <v>39</v>
      </c>
      <c r="F688" t="str">
        <f>VLOOKUP('Sales table'!$A:$A,Customers!$A:$H,5,FALSE)</f>
        <v>Hyderabad</v>
      </c>
      <c r="G688" t="str">
        <f>VLOOKUP($B:$B,Products!$A:$D,2,FALSE)</f>
        <v>Kurta</v>
      </c>
      <c r="H688" t="str">
        <f>VLOOKUP($B:$B,Products!$A:$D,3,FALSE)</f>
        <v>Clothing</v>
      </c>
      <c r="I688">
        <f>VLOOKUP($B:$B,Products!$A:$D,4,FALSE)</f>
        <v>13241</v>
      </c>
      <c r="J688" s="4">
        <f>VLOOKUP($A:$A,Sales!$B:$H,6,FALSE)</f>
        <v>45598</v>
      </c>
      <c r="K688" s="9">
        <f>VLOOKUP($A:$A,Sales!$B:$H,4,FALSE)</f>
        <v>5</v>
      </c>
      <c r="L688" s="5">
        <f t="shared" si="10"/>
        <v>66205</v>
      </c>
    </row>
    <row r="689" spans="1:12" x14ac:dyDescent="0.3">
      <c r="A689">
        <v>1154</v>
      </c>
      <c r="B689">
        <v>2015</v>
      </c>
      <c r="C689">
        <v>3032</v>
      </c>
      <c r="D689" t="str">
        <f>VLOOKUP('Sales table'!$A:$A,Customers!$A:$H,2,FALSE)</f>
        <v>Kristin Davis</v>
      </c>
      <c r="E689">
        <f>VLOOKUP('Sales table'!$A:$A,Customers!$A:$H,4,FALSE)</f>
        <v>43</v>
      </c>
      <c r="F689" t="str">
        <f>VLOOKUP('Sales table'!$A:$A,Customers!$A:$H,5,FALSE)</f>
        <v>Hyderabad</v>
      </c>
      <c r="G689" t="str">
        <f>VLOOKUP($B:$B,Products!$A:$D,2,FALSE)</f>
        <v>Candle Set</v>
      </c>
      <c r="H689" t="str">
        <f>VLOOKUP($B:$B,Products!$A:$D,3,FALSE)</f>
        <v>Home Decor</v>
      </c>
      <c r="I689">
        <f>VLOOKUP($B:$B,Products!$A:$D,4,FALSE)</f>
        <v>17604</v>
      </c>
      <c r="J689" s="4">
        <f>VLOOKUP($A:$A,Sales!$B:$H,6,FALSE)</f>
        <v>45614</v>
      </c>
      <c r="K689" s="9">
        <f>VLOOKUP($A:$A,Sales!$B:$H,4,FALSE)</f>
        <v>1</v>
      </c>
      <c r="L689" s="5">
        <f t="shared" si="10"/>
        <v>17604</v>
      </c>
    </row>
    <row r="690" spans="1:12" x14ac:dyDescent="0.3">
      <c r="A690">
        <v>1285</v>
      </c>
      <c r="B690">
        <v>2006</v>
      </c>
      <c r="C690">
        <v>3024</v>
      </c>
      <c r="D690" t="str">
        <f>VLOOKUP('Sales table'!$A:$A,Customers!$A:$H,2,FALSE)</f>
        <v>Deborah Hill</v>
      </c>
      <c r="E690">
        <f>VLOOKUP('Sales table'!$A:$A,Customers!$A:$H,4,FALSE)</f>
        <v>47</v>
      </c>
      <c r="F690" t="str">
        <f>VLOOKUP('Sales table'!$A:$A,Customers!$A:$H,5,FALSE)</f>
        <v>Delhi</v>
      </c>
      <c r="G690" t="str">
        <f>VLOOKUP($B:$B,Products!$A:$D,2,FALSE)</f>
        <v>Crackers Pack</v>
      </c>
      <c r="H690" t="str">
        <f>VLOOKUP($B:$B,Products!$A:$D,3,FALSE)</f>
        <v>Crackers</v>
      </c>
      <c r="I690">
        <f>VLOOKUP($B:$B,Products!$A:$D,4,FALSE)</f>
        <v>12060</v>
      </c>
      <c r="J690" s="4">
        <f>VLOOKUP($A:$A,Sales!$B:$H,6,FALSE)</f>
        <v>45603</v>
      </c>
      <c r="K690" s="9">
        <f>VLOOKUP($A:$A,Sales!$B:$H,4,FALSE)</f>
        <v>4</v>
      </c>
      <c r="L690" s="5">
        <f t="shared" si="10"/>
        <v>48240</v>
      </c>
    </row>
    <row r="691" spans="1:12" x14ac:dyDescent="0.3">
      <c r="A691">
        <v>1298</v>
      </c>
      <c r="B691">
        <v>2006</v>
      </c>
      <c r="C691">
        <v>3017</v>
      </c>
      <c r="D691" t="str">
        <f>VLOOKUP('Sales table'!$A:$A,Customers!$A:$H,2,FALSE)</f>
        <v>Kim Smith</v>
      </c>
      <c r="E691">
        <f>VLOOKUP('Sales table'!$A:$A,Customers!$A:$H,4,FALSE)</f>
        <v>50</v>
      </c>
      <c r="F691" t="str">
        <f>VLOOKUP('Sales table'!$A:$A,Customers!$A:$H,5,FALSE)</f>
        <v>Chennai</v>
      </c>
      <c r="G691" t="str">
        <f>VLOOKUP($B:$B,Products!$A:$D,2,FALSE)</f>
        <v>Crackers Pack</v>
      </c>
      <c r="H691" t="str">
        <f>VLOOKUP($B:$B,Products!$A:$D,3,FALSE)</f>
        <v>Crackers</v>
      </c>
      <c r="I691">
        <f>VLOOKUP($B:$B,Products!$A:$D,4,FALSE)</f>
        <v>12060</v>
      </c>
      <c r="J691" s="4">
        <f>VLOOKUP($A:$A,Sales!$B:$H,6,FALSE)</f>
        <v>45596</v>
      </c>
      <c r="K691" s="9">
        <f>VLOOKUP($A:$A,Sales!$B:$H,4,FALSE)</f>
        <v>3</v>
      </c>
      <c r="L691" s="5">
        <f t="shared" si="10"/>
        <v>36180</v>
      </c>
    </row>
    <row r="692" spans="1:12" x14ac:dyDescent="0.3">
      <c r="A692">
        <v>1146</v>
      </c>
      <c r="B692">
        <v>2023</v>
      </c>
      <c r="C692">
        <v>3026</v>
      </c>
      <c r="D692" t="str">
        <f>VLOOKUP('Sales table'!$A:$A,Customers!$A:$H,2,FALSE)</f>
        <v>Angela Martin</v>
      </c>
      <c r="E692">
        <f>VLOOKUP('Sales table'!$A:$A,Customers!$A:$H,4,FALSE)</f>
        <v>61</v>
      </c>
      <c r="F692" t="str">
        <f>VLOOKUP('Sales table'!$A:$A,Customers!$A:$H,5,FALSE)</f>
        <v>Bangalore</v>
      </c>
      <c r="G692" t="str">
        <f>VLOOKUP($B:$B,Products!$A:$D,2,FALSE)</f>
        <v>Kids Wear</v>
      </c>
      <c r="H692" t="str">
        <f>VLOOKUP($B:$B,Products!$A:$D,3,FALSE)</f>
        <v>Clothing</v>
      </c>
      <c r="I692">
        <f>VLOOKUP($B:$B,Products!$A:$D,4,FALSE)</f>
        <v>4794</v>
      </c>
      <c r="J692" s="4">
        <f>VLOOKUP($A:$A,Sales!$B:$H,6,FALSE)</f>
        <v>45608</v>
      </c>
      <c r="K692" s="9">
        <f>VLOOKUP($A:$A,Sales!$B:$H,4,FALSE)</f>
        <v>1</v>
      </c>
      <c r="L692" s="5">
        <f t="shared" si="10"/>
        <v>4794</v>
      </c>
    </row>
    <row r="693" spans="1:12" x14ac:dyDescent="0.3">
      <c r="A693">
        <v>1128</v>
      </c>
      <c r="B693">
        <v>2008</v>
      </c>
      <c r="C693">
        <v>3008</v>
      </c>
      <c r="D693" t="str">
        <f>VLOOKUP('Sales table'!$A:$A,Customers!$A:$H,2,FALSE)</f>
        <v>Thomas Pennington</v>
      </c>
      <c r="E693">
        <f>VLOOKUP('Sales table'!$A:$A,Customers!$A:$H,4,FALSE)</f>
        <v>49</v>
      </c>
      <c r="F693" t="str">
        <f>VLOOKUP('Sales table'!$A:$A,Customers!$A:$H,5,FALSE)</f>
        <v>Pune</v>
      </c>
      <c r="G693" t="str">
        <f>VLOOKUP($B:$B,Products!$A:$D,2,FALSE)</f>
        <v>Earthen Diyas</v>
      </c>
      <c r="H693" t="str">
        <f>VLOOKUP($B:$B,Products!$A:$D,3,FALSE)</f>
        <v>Home Decor</v>
      </c>
      <c r="I693">
        <f>VLOOKUP($B:$B,Products!$A:$D,4,FALSE)</f>
        <v>2136</v>
      </c>
      <c r="J693" s="4">
        <f>VLOOKUP($A:$A,Sales!$B:$H,6,FALSE)</f>
        <v>45613</v>
      </c>
      <c r="K693" s="9">
        <f>VLOOKUP($A:$A,Sales!$B:$H,4,FALSE)</f>
        <v>3</v>
      </c>
      <c r="L693" s="5">
        <f t="shared" si="10"/>
        <v>6408</v>
      </c>
    </row>
    <row r="694" spans="1:12" x14ac:dyDescent="0.3">
      <c r="A694">
        <v>1175</v>
      </c>
      <c r="B694">
        <v>2010</v>
      </c>
      <c r="C694">
        <v>3015</v>
      </c>
      <c r="D694" t="str">
        <f>VLOOKUP('Sales table'!$A:$A,Customers!$A:$H,2,FALSE)</f>
        <v>Jeffrey Smith</v>
      </c>
      <c r="E694">
        <f>VLOOKUP('Sales table'!$A:$A,Customers!$A:$H,4,FALSE)</f>
        <v>51</v>
      </c>
      <c r="F694" t="str">
        <f>VLOOKUP('Sales table'!$A:$A,Customers!$A:$H,5,FALSE)</f>
        <v>Kolkata</v>
      </c>
      <c r="G694" t="str">
        <f>VLOOKUP($B:$B,Products!$A:$D,2,FALSE)</f>
        <v>Chocolate Box</v>
      </c>
      <c r="H694" t="str">
        <f>VLOOKUP($B:$B,Products!$A:$D,3,FALSE)</f>
        <v>Sweets &amp; Gifts</v>
      </c>
      <c r="I694">
        <f>VLOOKUP($B:$B,Products!$A:$D,4,FALSE)</f>
        <v>17909</v>
      </c>
      <c r="J694" s="4">
        <f>VLOOKUP($A:$A,Sales!$B:$H,6,FALSE)</f>
        <v>45611</v>
      </c>
      <c r="K694" s="9">
        <f>VLOOKUP($A:$A,Sales!$B:$H,4,FALSE)</f>
        <v>4</v>
      </c>
      <c r="L694" s="5">
        <f t="shared" si="10"/>
        <v>71636</v>
      </c>
    </row>
    <row r="695" spans="1:12" x14ac:dyDescent="0.3">
      <c r="A695">
        <v>1061</v>
      </c>
      <c r="B695">
        <v>2016</v>
      </c>
      <c r="C695">
        <v>3017</v>
      </c>
      <c r="D695" t="str">
        <f>VLOOKUP('Sales table'!$A:$A,Customers!$A:$H,2,FALSE)</f>
        <v>Alexander Gonzalez</v>
      </c>
      <c r="E695">
        <f>VLOOKUP('Sales table'!$A:$A,Customers!$A:$H,4,FALSE)</f>
        <v>53</v>
      </c>
      <c r="F695" t="str">
        <f>VLOOKUP('Sales table'!$A:$A,Customers!$A:$H,5,FALSE)</f>
        <v>Pune</v>
      </c>
      <c r="G695" t="str">
        <f>VLOOKUP($B:$B,Products!$A:$D,2,FALSE)</f>
        <v>Fairy Lights</v>
      </c>
      <c r="H695" t="str">
        <f>VLOOKUP($B:$B,Products!$A:$D,3,FALSE)</f>
        <v>Home Decor</v>
      </c>
      <c r="I695">
        <f>VLOOKUP($B:$B,Products!$A:$D,4,FALSE)</f>
        <v>12242</v>
      </c>
      <c r="J695" s="4">
        <f>VLOOKUP($A:$A,Sales!$B:$H,6,FALSE)</f>
        <v>45579</v>
      </c>
      <c r="K695" s="9">
        <f>VLOOKUP($A:$A,Sales!$B:$H,4,FALSE)</f>
        <v>3</v>
      </c>
      <c r="L695" s="5">
        <f t="shared" si="10"/>
        <v>36726</v>
      </c>
    </row>
    <row r="696" spans="1:12" x14ac:dyDescent="0.3">
      <c r="A696">
        <v>1017</v>
      </c>
      <c r="B696">
        <v>2022</v>
      </c>
      <c r="C696">
        <v>3029</v>
      </c>
      <c r="D696" t="str">
        <f>VLOOKUP('Sales table'!$A:$A,Customers!$A:$H,2,FALSE)</f>
        <v>Sandra Hamilton</v>
      </c>
      <c r="E696">
        <f>VLOOKUP('Sales table'!$A:$A,Customers!$A:$H,4,FALSE)</f>
        <v>39</v>
      </c>
      <c r="F696" t="str">
        <f>VLOOKUP('Sales table'!$A:$A,Customers!$A:$H,5,FALSE)</f>
        <v>Kolkata</v>
      </c>
      <c r="G696" t="str">
        <f>VLOOKUP($B:$B,Products!$A:$D,2,FALSE)</f>
        <v>Home Decor Statue</v>
      </c>
      <c r="H696" t="str">
        <f>VLOOKUP($B:$B,Products!$A:$D,3,FALSE)</f>
        <v>Home Decor</v>
      </c>
      <c r="I696">
        <f>VLOOKUP($B:$B,Products!$A:$D,4,FALSE)</f>
        <v>17149</v>
      </c>
      <c r="J696" s="4">
        <f>VLOOKUP($A:$A,Sales!$B:$H,6,FALSE)</f>
        <v>45603</v>
      </c>
      <c r="K696" s="9">
        <f>VLOOKUP($A:$A,Sales!$B:$H,4,FALSE)</f>
        <v>2</v>
      </c>
      <c r="L696" s="5">
        <f t="shared" si="10"/>
        <v>34298</v>
      </c>
    </row>
    <row r="697" spans="1:12" x14ac:dyDescent="0.3">
      <c r="A697">
        <v>1018</v>
      </c>
      <c r="B697">
        <v>2005</v>
      </c>
      <c r="C697">
        <v>3029</v>
      </c>
      <c r="D697" t="str">
        <f>VLOOKUP('Sales table'!$A:$A,Customers!$A:$H,2,FALSE)</f>
        <v>Mariah Kim</v>
      </c>
      <c r="E697">
        <f>VLOOKUP('Sales table'!$A:$A,Customers!$A:$H,4,FALSE)</f>
        <v>34</v>
      </c>
      <c r="F697" t="str">
        <f>VLOOKUP('Sales table'!$A:$A,Customers!$A:$H,5,FALSE)</f>
        <v>Mumbai</v>
      </c>
      <c r="G697" t="str">
        <f>VLOOKUP($B:$B,Products!$A:$D,2,FALSE)</f>
        <v>LED Lamp</v>
      </c>
      <c r="H697" t="str">
        <f>VLOOKUP($B:$B,Products!$A:$D,3,FALSE)</f>
        <v>Home Decor</v>
      </c>
      <c r="I697">
        <f>VLOOKUP($B:$B,Products!$A:$D,4,FALSE)</f>
        <v>3828</v>
      </c>
      <c r="J697" s="4">
        <f>VLOOKUP($A:$A,Sales!$B:$H,6,FALSE)</f>
        <v>45610</v>
      </c>
      <c r="K697" s="9">
        <f>VLOOKUP($A:$A,Sales!$B:$H,4,FALSE)</f>
        <v>1</v>
      </c>
      <c r="L697" s="5">
        <f t="shared" si="10"/>
        <v>3828</v>
      </c>
    </row>
    <row r="698" spans="1:12" x14ac:dyDescent="0.3">
      <c r="A698">
        <v>1280</v>
      </c>
      <c r="B698">
        <v>2020</v>
      </c>
      <c r="C698">
        <v>3014</v>
      </c>
      <c r="D698" t="str">
        <f>VLOOKUP('Sales table'!$A:$A,Customers!$A:$H,2,FALSE)</f>
        <v>Jesse Jones</v>
      </c>
      <c r="E698">
        <f>VLOOKUP('Sales table'!$A:$A,Customers!$A:$H,4,FALSE)</f>
        <v>22</v>
      </c>
      <c r="F698" t="str">
        <f>VLOOKUP('Sales table'!$A:$A,Customers!$A:$H,5,FALSE)</f>
        <v>Mumbai</v>
      </c>
      <c r="G698" t="str">
        <f>VLOOKUP($B:$B,Products!$A:$D,2,FALSE)</f>
        <v>Ethnic Jewelry</v>
      </c>
      <c r="H698" t="str">
        <f>VLOOKUP($B:$B,Products!$A:$D,3,FALSE)</f>
        <v>Precious Items</v>
      </c>
      <c r="I698">
        <f>VLOOKUP($B:$B,Products!$A:$D,4,FALSE)</f>
        <v>4495</v>
      </c>
      <c r="J698" s="4">
        <f>VLOOKUP($A:$A,Sales!$B:$H,6,FALSE)</f>
        <v>45612</v>
      </c>
      <c r="K698" s="9">
        <f>VLOOKUP($A:$A,Sales!$B:$H,4,FALSE)</f>
        <v>2</v>
      </c>
      <c r="L698" s="5">
        <f t="shared" si="10"/>
        <v>8990</v>
      </c>
    </row>
    <row r="699" spans="1:12" x14ac:dyDescent="0.3">
      <c r="A699">
        <v>1107</v>
      </c>
      <c r="B699">
        <v>2024</v>
      </c>
      <c r="C699">
        <v>3009</v>
      </c>
      <c r="D699" t="str">
        <f>VLOOKUP('Sales table'!$A:$A,Customers!$A:$H,2,FALSE)</f>
        <v>Crystal Wilson</v>
      </c>
      <c r="E699">
        <f>VLOOKUP('Sales table'!$A:$A,Customers!$A:$H,4,FALSE)</f>
        <v>53</v>
      </c>
      <c r="F699" t="str">
        <f>VLOOKUP('Sales table'!$A:$A,Customers!$A:$H,5,FALSE)</f>
        <v>Hyderabad</v>
      </c>
      <c r="G699" t="str">
        <f>VLOOKUP($B:$B,Products!$A:$D,2,FALSE)</f>
        <v>Perfume Gift Set</v>
      </c>
      <c r="H699" t="str">
        <f>VLOOKUP($B:$B,Products!$A:$D,3,FALSE)</f>
        <v>Accessories</v>
      </c>
      <c r="I699">
        <f>VLOOKUP($B:$B,Products!$A:$D,4,FALSE)</f>
        <v>16272</v>
      </c>
      <c r="J699" s="4">
        <f>VLOOKUP($A:$A,Sales!$B:$H,6,FALSE)</f>
        <v>45599</v>
      </c>
      <c r="K699" s="9">
        <f>VLOOKUP($A:$A,Sales!$B:$H,4,FALSE)</f>
        <v>2</v>
      </c>
      <c r="L699" s="5">
        <f t="shared" si="10"/>
        <v>32544</v>
      </c>
    </row>
    <row r="700" spans="1:12" x14ac:dyDescent="0.3">
      <c r="A700">
        <v>1022</v>
      </c>
      <c r="B700">
        <v>2016</v>
      </c>
      <c r="C700">
        <v>3012</v>
      </c>
      <c r="D700" t="str">
        <f>VLOOKUP('Sales table'!$A:$A,Customers!$A:$H,2,FALSE)</f>
        <v>Juan Foster</v>
      </c>
      <c r="E700">
        <f>VLOOKUP('Sales table'!$A:$A,Customers!$A:$H,4,FALSE)</f>
        <v>61</v>
      </c>
      <c r="F700" t="str">
        <f>VLOOKUP('Sales table'!$A:$A,Customers!$A:$H,5,FALSE)</f>
        <v>Kolkata</v>
      </c>
      <c r="G700" t="str">
        <f>VLOOKUP($B:$B,Products!$A:$D,2,FALSE)</f>
        <v>Fairy Lights</v>
      </c>
      <c r="H700" t="str">
        <f>VLOOKUP($B:$B,Products!$A:$D,3,FALSE)</f>
        <v>Home Decor</v>
      </c>
      <c r="I700">
        <f>VLOOKUP($B:$B,Products!$A:$D,4,FALSE)</f>
        <v>12242</v>
      </c>
      <c r="J700" s="4">
        <f>VLOOKUP($A:$A,Sales!$B:$H,6,FALSE)</f>
        <v>45612</v>
      </c>
      <c r="K700" s="9">
        <f>VLOOKUP($A:$A,Sales!$B:$H,4,FALSE)</f>
        <v>2</v>
      </c>
      <c r="L700" s="5">
        <f t="shared" si="10"/>
        <v>24484</v>
      </c>
    </row>
    <row r="701" spans="1:12" x14ac:dyDescent="0.3">
      <c r="A701">
        <v>1029</v>
      </c>
      <c r="B701">
        <v>2014</v>
      </c>
      <c r="C701">
        <v>3019</v>
      </c>
      <c r="D701" t="str">
        <f>VLOOKUP('Sales table'!$A:$A,Customers!$A:$H,2,FALSE)</f>
        <v>Leonard Smith</v>
      </c>
      <c r="E701">
        <f>VLOOKUP('Sales table'!$A:$A,Customers!$A:$H,4,FALSE)</f>
        <v>49</v>
      </c>
      <c r="F701" t="str">
        <f>VLOOKUP('Sales table'!$A:$A,Customers!$A:$H,5,FALSE)</f>
        <v>Hyderabad</v>
      </c>
      <c r="G701" t="str">
        <f>VLOOKUP($B:$B,Products!$A:$D,2,FALSE)</f>
        <v>Gold Coin</v>
      </c>
      <c r="H701" t="str">
        <f>VLOOKUP($B:$B,Products!$A:$D,3,FALSE)</f>
        <v>Precious Items</v>
      </c>
      <c r="I701">
        <f>VLOOKUP($B:$B,Products!$A:$D,4,FALSE)</f>
        <v>13823</v>
      </c>
      <c r="J701" s="4">
        <f>VLOOKUP($A:$A,Sales!$B:$H,6,FALSE)</f>
        <v>45592</v>
      </c>
      <c r="K701" s="9">
        <f>VLOOKUP($A:$A,Sales!$B:$H,4,FALSE)</f>
        <v>2</v>
      </c>
      <c r="L701" s="5">
        <f t="shared" si="10"/>
        <v>27646</v>
      </c>
    </row>
    <row r="702" spans="1:12" x14ac:dyDescent="0.3">
      <c r="A702">
        <v>1103</v>
      </c>
      <c r="B702">
        <v>2018</v>
      </c>
      <c r="C702">
        <v>3012</v>
      </c>
      <c r="D702" t="str">
        <f>VLOOKUP('Sales table'!$A:$A,Customers!$A:$H,2,FALSE)</f>
        <v>Glenn Cook</v>
      </c>
      <c r="E702">
        <f>VLOOKUP('Sales table'!$A:$A,Customers!$A:$H,4,FALSE)</f>
        <v>58</v>
      </c>
      <c r="F702" t="str">
        <f>VLOOKUP('Sales table'!$A:$A,Customers!$A:$H,5,FALSE)</f>
        <v>Kolkata</v>
      </c>
      <c r="G702" t="str">
        <f>VLOOKUP($B:$B,Products!$A:$D,2,FALSE)</f>
        <v>Dry Fruits Pack</v>
      </c>
      <c r="H702" t="str">
        <f>VLOOKUP($B:$B,Products!$A:$D,3,FALSE)</f>
        <v>Sweets &amp; Gifts</v>
      </c>
      <c r="I702">
        <f>VLOOKUP($B:$B,Products!$A:$D,4,FALSE)</f>
        <v>7243</v>
      </c>
      <c r="J702" s="4">
        <f>VLOOKUP($A:$A,Sales!$B:$H,6,FALSE)</f>
        <v>45597</v>
      </c>
      <c r="K702" s="9">
        <f>VLOOKUP($A:$A,Sales!$B:$H,4,FALSE)</f>
        <v>2</v>
      </c>
      <c r="L702" s="5">
        <f t="shared" si="10"/>
        <v>14486</v>
      </c>
    </row>
    <row r="703" spans="1:12" x14ac:dyDescent="0.3">
      <c r="A703">
        <v>1236</v>
      </c>
      <c r="B703">
        <v>2004</v>
      </c>
      <c r="C703">
        <v>3029</v>
      </c>
      <c r="D703" t="str">
        <f>VLOOKUP('Sales table'!$A:$A,Customers!$A:$H,2,FALSE)</f>
        <v>Kimberly Clay</v>
      </c>
      <c r="E703">
        <f>VLOOKUP('Sales table'!$A:$A,Customers!$A:$H,4,FALSE)</f>
        <v>60</v>
      </c>
      <c r="F703" t="str">
        <f>VLOOKUP('Sales table'!$A:$A,Customers!$A:$H,5,FALSE)</f>
        <v>Delhi</v>
      </c>
      <c r="G703" t="str">
        <f>VLOOKUP($B:$B,Products!$A:$D,2,FALSE)</f>
        <v>Smartphone</v>
      </c>
      <c r="H703" t="str">
        <f>VLOOKUP($B:$B,Products!$A:$D,3,FALSE)</f>
        <v>Electronics</v>
      </c>
      <c r="I703">
        <f>VLOOKUP($B:$B,Products!$A:$D,4,FALSE)</f>
        <v>4952</v>
      </c>
      <c r="J703" s="4">
        <f>VLOOKUP($A:$A,Sales!$B:$H,6,FALSE)</f>
        <v>45598</v>
      </c>
      <c r="K703" s="9">
        <f>VLOOKUP($A:$A,Sales!$B:$H,4,FALSE)</f>
        <v>3</v>
      </c>
      <c r="L703" s="5">
        <f t="shared" si="10"/>
        <v>14856</v>
      </c>
    </row>
    <row r="704" spans="1:12" x14ac:dyDescent="0.3">
      <c r="A704">
        <v>1084</v>
      </c>
      <c r="B704">
        <v>2013</v>
      </c>
      <c r="C704">
        <v>3032</v>
      </c>
      <c r="D704" t="str">
        <f>VLOOKUP('Sales table'!$A:$A,Customers!$A:$H,2,FALSE)</f>
        <v>Sharon Baker</v>
      </c>
      <c r="E704">
        <f>VLOOKUP('Sales table'!$A:$A,Customers!$A:$H,4,FALSE)</f>
        <v>48</v>
      </c>
      <c r="F704" t="str">
        <f>VLOOKUP('Sales table'!$A:$A,Customers!$A:$H,5,FALSE)</f>
        <v>Chennai</v>
      </c>
      <c r="G704" t="str">
        <f>VLOOKUP($B:$B,Products!$A:$D,2,FALSE)</f>
        <v>Silver Coin</v>
      </c>
      <c r="H704" t="str">
        <f>VLOOKUP($B:$B,Products!$A:$D,3,FALSE)</f>
        <v>Precious Items</v>
      </c>
      <c r="I704">
        <f>VLOOKUP($B:$B,Products!$A:$D,4,FALSE)</f>
        <v>11845</v>
      </c>
      <c r="J704" s="4">
        <f>VLOOKUP($A:$A,Sales!$B:$H,6,FALSE)</f>
        <v>45613</v>
      </c>
      <c r="K704" s="9">
        <f>VLOOKUP($A:$A,Sales!$B:$H,4,FALSE)</f>
        <v>2</v>
      </c>
      <c r="L704" s="5">
        <f t="shared" si="10"/>
        <v>23690</v>
      </c>
    </row>
    <row r="705" spans="1:12" x14ac:dyDescent="0.3">
      <c r="A705">
        <v>1171</v>
      </c>
      <c r="B705">
        <v>2005</v>
      </c>
      <c r="C705">
        <v>3029</v>
      </c>
      <c r="D705" t="str">
        <f>VLOOKUP('Sales table'!$A:$A,Customers!$A:$H,2,FALSE)</f>
        <v>Brandon Graves</v>
      </c>
      <c r="E705">
        <f>VLOOKUP('Sales table'!$A:$A,Customers!$A:$H,4,FALSE)</f>
        <v>43</v>
      </c>
      <c r="F705" t="str">
        <f>VLOOKUP('Sales table'!$A:$A,Customers!$A:$H,5,FALSE)</f>
        <v>Delhi</v>
      </c>
      <c r="G705" t="str">
        <f>VLOOKUP($B:$B,Products!$A:$D,2,FALSE)</f>
        <v>LED Lamp</v>
      </c>
      <c r="H705" t="str">
        <f>VLOOKUP($B:$B,Products!$A:$D,3,FALSE)</f>
        <v>Home Decor</v>
      </c>
      <c r="I705">
        <f>VLOOKUP($B:$B,Products!$A:$D,4,FALSE)</f>
        <v>3828</v>
      </c>
      <c r="J705" s="4">
        <f>VLOOKUP($A:$A,Sales!$B:$H,6,FALSE)</f>
        <v>45616</v>
      </c>
      <c r="K705" s="9">
        <f>VLOOKUP($A:$A,Sales!$B:$H,4,FALSE)</f>
        <v>1</v>
      </c>
      <c r="L705" s="5">
        <f t="shared" si="10"/>
        <v>3828</v>
      </c>
    </row>
    <row r="706" spans="1:12" x14ac:dyDescent="0.3">
      <c r="A706">
        <v>1078</v>
      </c>
      <c r="B706">
        <v>2007</v>
      </c>
      <c r="C706">
        <v>3035</v>
      </c>
      <c r="D706" t="str">
        <f>VLOOKUP('Sales table'!$A:$A,Customers!$A:$H,2,FALSE)</f>
        <v>Jerry Newman</v>
      </c>
      <c r="E706">
        <f>VLOOKUP('Sales table'!$A:$A,Customers!$A:$H,4,FALSE)</f>
        <v>19</v>
      </c>
      <c r="F706" t="str">
        <f>VLOOKUP('Sales table'!$A:$A,Customers!$A:$H,5,FALSE)</f>
        <v>Delhi</v>
      </c>
      <c r="G706" t="str">
        <f>VLOOKUP($B:$B,Products!$A:$D,2,FALSE)</f>
        <v>Gift Hamper</v>
      </c>
      <c r="H706" t="str">
        <f>VLOOKUP($B:$B,Products!$A:$D,3,FALSE)</f>
        <v>Sweets &amp; Gifts</v>
      </c>
      <c r="I706">
        <f>VLOOKUP($B:$B,Products!$A:$D,4,FALSE)</f>
        <v>3412</v>
      </c>
      <c r="J706" s="4">
        <f>VLOOKUP($A:$A,Sales!$B:$H,6,FALSE)</f>
        <v>45610</v>
      </c>
      <c r="K706" s="9">
        <f>VLOOKUP($A:$A,Sales!$B:$H,4,FALSE)</f>
        <v>5</v>
      </c>
      <c r="L706" s="5">
        <f t="shared" si="10"/>
        <v>17060</v>
      </c>
    </row>
    <row r="707" spans="1:12" x14ac:dyDescent="0.3">
      <c r="A707">
        <v>1199</v>
      </c>
      <c r="B707">
        <v>2016</v>
      </c>
      <c r="C707">
        <v>3013</v>
      </c>
      <c r="D707" t="str">
        <f>VLOOKUP('Sales table'!$A:$A,Customers!$A:$H,2,FALSE)</f>
        <v>Sheila Warner</v>
      </c>
      <c r="E707">
        <f>VLOOKUP('Sales table'!$A:$A,Customers!$A:$H,4,FALSE)</f>
        <v>26</v>
      </c>
      <c r="F707" t="str">
        <f>VLOOKUP('Sales table'!$A:$A,Customers!$A:$H,5,FALSE)</f>
        <v>Bangalore</v>
      </c>
      <c r="G707" t="str">
        <f>VLOOKUP($B:$B,Products!$A:$D,2,FALSE)</f>
        <v>Fairy Lights</v>
      </c>
      <c r="H707" t="str">
        <f>VLOOKUP($B:$B,Products!$A:$D,3,FALSE)</f>
        <v>Home Decor</v>
      </c>
      <c r="I707">
        <f>VLOOKUP($B:$B,Products!$A:$D,4,FALSE)</f>
        <v>12242</v>
      </c>
      <c r="J707" s="4">
        <f>VLOOKUP($A:$A,Sales!$B:$H,6,FALSE)</f>
        <v>45607</v>
      </c>
      <c r="K707" s="9">
        <f>VLOOKUP($A:$A,Sales!$B:$H,4,FALSE)</f>
        <v>3</v>
      </c>
      <c r="L707" s="5">
        <f t="shared" ref="L707:L770" si="11">I707*K707</f>
        <v>36726</v>
      </c>
    </row>
    <row r="708" spans="1:12" x14ac:dyDescent="0.3">
      <c r="A708">
        <v>1186</v>
      </c>
      <c r="B708">
        <v>2017</v>
      </c>
      <c r="C708">
        <v>3022</v>
      </c>
      <c r="D708" t="str">
        <f>VLOOKUP('Sales table'!$A:$A,Customers!$A:$H,2,FALSE)</f>
        <v>Molly Hansen</v>
      </c>
      <c r="E708">
        <f>VLOOKUP('Sales table'!$A:$A,Customers!$A:$H,4,FALSE)</f>
        <v>50</v>
      </c>
      <c r="F708" t="str">
        <f>VLOOKUP('Sales table'!$A:$A,Customers!$A:$H,5,FALSE)</f>
        <v>Chennai</v>
      </c>
      <c r="G708" t="str">
        <f>VLOOKUP($B:$B,Products!$A:$D,2,FALSE)</f>
        <v>Handmade Pottery</v>
      </c>
      <c r="H708" t="str">
        <f>VLOOKUP($B:$B,Products!$A:$D,3,FALSE)</f>
        <v>Home Decor</v>
      </c>
      <c r="I708">
        <f>VLOOKUP($B:$B,Products!$A:$D,4,FALSE)</f>
        <v>8186</v>
      </c>
      <c r="J708" s="4">
        <f>VLOOKUP($A:$A,Sales!$B:$H,6,FALSE)</f>
        <v>45604</v>
      </c>
      <c r="K708" s="9">
        <f>VLOOKUP($A:$A,Sales!$B:$H,4,FALSE)</f>
        <v>5</v>
      </c>
      <c r="L708" s="5">
        <f t="shared" si="11"/>
        <v>40930</v>
      </c>
    </row>
    <row r="709" spans="1:12" x14ac:dyDescent="0.3">
      <c r="A709">
        <v>1080</v>
      </c>
      <c r="B709">
        <v>2023</v>
      </c>
      <c r="C709">
        <v>3024</v>
      </c>
      <c r="D709" t="str">
        <f>VLOOKUP('Sales table'!$A:$A,Customers!$A:$H,2,FALSE)</f>
        <v>Colleen Underwood</v>
      </c>
      <c r="E709">
        <f>VLOOKUP('Sales table'!$A:$A,Customers!$A:$H,4,FALSE)</f>
        <v>23</v>
      </c>
      <c r="F709" t="str">
        <f>VLOOKUP('Sales table'!$A:$A,Customers!$A:$H,5,FALSE)</f>
        <v>Hyderabad</v>
      </c>
      <c r="G709" t="str">
        <f>VLOOKUP($B:$B,Products!$A:$D,2,FALSE)</f>
        <v>Kids Wear</v>
      </c>
      <c r="H709" t="str">
        <f>VLOOKUP($B:$B,Products!$A:$D,3,FALSE)</f>
        <v>Clothing</v>
      </c>
      <c r="I709">
        <f>VLOOKUP($B:$B,Products!$A:$D,4,FALSE)</f>
        <v>4794</v>
      </c>
      <c r="J709" s="4">
        <f>VLOOKUP($A:$A,Sales!$B:$H,6,FALSE)</f>
        <v>45580</v>
      </c>
      <c r="K709" s="9">
        <f>VLOOKUP($A:$A,Sales!$B:$H,4,FALSE)</f>
        <v>4</v>
      </c>
      <c r="L709" s="5">
        <f t="shared" si="11"/>
        <v>19176</v>
      </c>
    </row>
    <row r="710" spans="1:12" x14ac:dyDescent="0.3">
      <c r="A710">
        <v>1052</v>
      </c>
      <c r="B710">
        <v>2007</v>
      </c>
      <c r="C710">
        <v>3026</v>
      </c>
      <c r="D710" t="str">
        <f>VLOOKUP('Sales table'!$A:$A,Customers!$A:$H,2,FALSE)</f>
        <v>Kristin Ayers</v>
      </c>
      <c r="E710">
        <f>VLOOKUP('Sales table'!$A:$A,Customers!$A:$H,4,FALSE)</f>
        <v>38</v>
      </c>
      <c r="F710" t="str">
        <f>VLOOKUP('Sales table'!$A:$A,Customers!$A:$H,5,FALSE)</f>
        <v>Bangalore</v>
      </c>
      <c r="G710" t="str">
        <f>VLOOKUP($B:$B,Products!$A:$D,2,FALSE)</f>
        <v>Gift Hamper</v>
      </c>
      <c r="H710" t="str">
        <f>VLOOKUP($B:$B,Products!$A:$D,3,FALSE)</f>
        <v>Sweets &amp; Gifts</v>
      </c>
      <c r="I710">
        <f>VLOOKUP($B:$B,Products!$A:$D,4,FALSE)</f>
        <v>3412</v>
      </c>
      <c r="J710" s="4">
        <f>VLOOKUP($A:$A,Sales!$B:$H,6,FALSE)</f>
        <v>45613</v>
      </c>
      <c r="K710" s="9">
        <f>VLOOKUP($A:$A,Sales!$B:$H,4,FALSE)</f>
        <v>1</v>
      </c>
      <c r="L710" s="5">
        <f t="shared" si="11"/>
        <v>3412</v>
      </c>
    </row>
    <row r="711" spans="1:12" x14ac:dyDescent="0.3">
      <c r="A711">
        <v>1002</v>
      </c>
      <c r="B711">
        <v>2005</v>
      </c>
      <c r="C711">
        <v>3024</v>
      </c>
      <c r="D711" t="str">
        <f>VLOOKUP('Sales table'!$A:$A,Customers!$A:$H,2,FALSE)</f>
        <v>Scott Chen</v>
      </c>
      <c r="E711">
        <f>VLOOKUP('Sales table'!$A:$A,Customers!$A:$H,4,FALSE)</f>
        <v>21</v>
      </c>
      <c r="F711" t="str">
        <f>VLOOKUP('Sales table'!$A:$A,Customers!$A:$H,5,FALSE)</f>
        <v>Mumbai</v>
      </c>
      <c r="G711" t="str">
        <f>VLOOKUP($B:$B,Products!$A:$D,2,FALSE)</f>
        <v>LED Lamp</v>
      </c>
      <c r="H711" t="str">
        <f>VLOOKUP($B:$B,Products!$A:$D,3,FALSE)</f>
        <v>Home Decor</v>
      </c>
      <c r="I711">
        <f>VLOOKUP($B:$B,Products!$A:$D,4,FALSE)</f>
        <v>3828</v>
      </c>
      <c r="J711" s="4">
        <f>VLOOKUP($A:$A,Sales!$B:$H,6,FALSE)</f>
        <v>45598</v>
      </c>
      <c r="K711" s="9">
        <f>VLOOKUP($A:$A,Sales!$B:$H,4,FALSE)</f>
        <v>5</v>
      </c>
      <c r="L711" s="5">
        <f t="shared" si="11"/>
        <v>19140</v>
      </c>
    </row>
    <row r="712" spans="1:12" x14ac:dyDescent="0.3">
      <c r="A712">
        <v>1063</v>
      </c>
      <c r="B712">
        <v>2018</v>
      </c>
      <c r="C712">
        <v>3033</v>
      </c>
      <c r="D712" t="str">
        <f>VLOOKUP('Sales table'!$A:$A,Customers!$A:$H,2,FALSE)</f>
        <v>Michael Williams</v>
      </c>
      <c r="E712">
        <f>VLOOKUP('Sales table'!$A:$A,Customers!$A:$H,4,FALSE)</f>
        <v>60</v>
      </c>
      <c r="F712" t="str">
        <f>VLOOKUP('Sales table'!$A:$A,Customers!$A:$H,5,FALSE)</f>
        <v>Mumbai</v>
      </c>
      <c r="G712" t="str">
        <f>VLOOKUP($B:$B,Products!$A:$D,2,FALSE)</f>
        <v>Dry Fruits Pack</v>
      </c>
      <c r="H712" t="str">
        <f>VLOOKUP($B:$B,Products!$A:$D,3,FALSE)</f>
        <v>Sweets &amp; Gifts</v>
      </c>
      <c r="I712">
        <f>VLOOKUP($B:$B,Products!$A:$D,4,FALSE)</f>
        <v>7243</v>
      </c>
      <c r="J712" s="4">
        <f>VLOOKUP($A:$A,Sales!$B:$H,6,FALSE)</f>
        <v>45579</v>
      </c>
      <c r="K712" s="9">
        <f>VLOOKUP($A:$A,Sales!$B:$H,4,FALSE)</f>
        <v>5</v>
      </c>
      <c r="L712" s="5">
        <f t="shared" si="11"/>
        <v>36215</v>
      </c>
    </row>
    <row r="713" spans="1:12" x14ac:dyDescent="0.3">
      <c r="A713">
        <v>1032</v>
      </c>
      <c r="B713">
        <v>2014</v>
      </c>
      <c r="C713">
        <v>3007</v>
      </c>
      <c r="D713" t="str">
        <f>VLOOKUP('Sales table'!$A:$A,Customers!$A:$H,2,FALSE)</f>
        <v>Robert Williams</v>
      </c>
      <c r="E713">
        <f>VLOOKUP('Sales table'!$A:$A,Customers!$A:$H,4,FALSE)</f>
        <v>63</v>
      </c>
      <c r="F713" t="str">
        <f>VLOOKUP('Sales table'!$A:$A,Customers!$A:$H,5,FALSE)</f>
        <v>Delhi</v>
      </c>
      <c r="G713" t="str">
        <f>VLOOKUP($B:$B,Products!$A:$D,2,FALSE)</f>
        <v>Gold Coin</v>
      </c>
      <c r="H713" t="str">
        <f>VLOOKUP($B:$B,Products!$A:$D,3,FALSE)</f>
        <v>Precious Items</v>
      </c>
      <c r="I713">
        <f>VLOOKUP($B:$B,Products!$A:$D,4,FALSE)</f>
        <v>13823</v>
      </c>
      <c r="J713" s="4">
        <f>VLOOKUP($A:$A,Sales!$B:$H,6,FALSE)</f>
        <v>45577</v>
      </c>
      <c r="K713" s="9">
        <f>VLOOKUP($A:$A,Sales!$B:$H,4,FALSE)</f>
        <v>1</v>
      </c>
      <c r="L713" s="5">
        <f t="shared" si="11"/>
        <v>13823</v>
      </c>
    </row>
    <row r="714" spans="1:12" x14ac:dyDescent="0.3">
      <c r="A714">
        <v>1299</v>
      </c>
      <c r="B714">
        <v>2019</v>
      </c>
      <c r="C714">
        <v>3023</v>
      </c>
      <c r="D714" t="str">
        <f>VLOOKUP('Sales table'!$A:$A,Customers!$A:$H,2,FALSE)</f>
        <v>Alison Collins</v>
      </c>
      <c r="E714">
        <f>VLOOKUP('Sales table'!$A:$A,Customers!$A:$H,4,FALSE)</f>
        <v>29</v>
      </c>
      <c r="F714" t="str">
        <f>VLOOKUP('Sales table'!$A:$A,Customers!$A:$H,5,FALSE)</f>
        <v>Pune</v>
      </c>
      <c r="G714" t="str">
        <f>VLOOKUP($B:$B,Products!$A:$D,2,FALSE)</f>
        <v>Designer Kurti</v>
      </c>
      <c r="H714" t="str">
        <f>VLOOKUP($B:$B,Products!$A:$D,3,FALSE)</f>
        <v>Clothing</v>
      </c>
      <c r="I714">
        <f>VLOOKUP($B:$B,Products!$A:$D,4,FALSE)</f>
        <v>13620</v>
      </c>
      <c r="J714" s="4">
        <f>VLOOKUP($A:$A,Sales!$B:$H,6,FALSE)</f>
        <v>45607</v>
      </c>
      <c r="K714" s="9">
        <f>VLOOKUP($A:$A,Sales!$B:$H,4,FALSE)</f>
        <v>2</v>
      </c>
      <c r="L714" s="5">
        <f t="shared" si="11"/>
        <v>27240</v>
      </c>
    </row>
    <row r="715" spans="1:12" x14ac:dyDescent="0.3">
      <c r="A715">
        <v>1262</v>
      </c>
      <c r="B715">
        <v>2021</v>
      </c>
      <c r="C715">
        <v>3017</v>
      </c>
      <c r="D715" t="str">
        <f>VLOOKUP('Sales table'!$A:$A,Customers!$A:$H,2,FALSE)</f>
        <v>Ricardo Lewis Phd</v>
      </c>
      <c r="E715">
        <f>VLOOKUP('Sales table'!$A:$A,Customers!$A:$H,4,FALSE)</f>
        <v>27</v>
      </c>
      <c r="F715" t="str">
        <f>VLOOKUP('Sales table'!$A:$A,Customers!$A:$H,5,FALSE)</f>
        <v>Hyderabad</v>
      </c>
      <c r="G715" t="str">
        <f>VLOOKUP($B:$B,Products!$A:$D,2,FALSE)</f>
        <v>Smartwatch</v>
      </c>
      <c r="H715" t="str">
        <f>VLOOKUP($B:$B,Products!$A:$D,3,FALSE)</f>
        <v>Electronics</v>
      </c>
      <c r="I715">
        <f>VLOOKUP($B:$B,Products!$A:$D,4,FALSE)</f>
        <v>17586</v>
      </c>
      <c r="J715" s="4">
        <f>VLOOKUP($A:$A,Sales!$B:$H,6,FALSE)</f>
        <v>45611</v>
      </c>
      <c r="K715" s="9">
        <f>VLOOKUP($A:$A,Sales!$B:$H,4,FALSE)</f>
        <v>1</v>
      </c>
      <c r="L715" s="5">
        <f t="shared" si="11"/>
        <v>17586</v>
      </c>
    </row>
    <row r="716" spans="1:12" x14ac:dyDescent="0.3">
      <c r="A716">
        <v>1198</v>
      </c>
      <c r="B716">
        <v>2021</v>
      </c>
      <c r="C716">
        <v>3034</v>
      </c>
      <c r="D716" t="str">
        <f>VLOOKUP('Sales table'!$A:$A,Customers!$A:$H,2,FALSE)</f>
        <v>Eric Lopez</v>
      </c>
      <c r="E716">
        <f>VLOOKUP('Sales table'!$A:$A,Customers!$A:$H,4,FALSE)</f>
        <v>60</v>
      </c>
      <c r="F716" t="str">
        <f>VLOOKUP('Sales table'!$A:$A,Customers!$A:$H,5,FALSE)</f>
        <v>Bangalore</v>
      </c>
      <c r="G716" t="str">
        <f>VLOOKUP($B:$B,Products!$A:$D,2,FALSE)</f>
        <v>Smartwatch</v>
      </c>
      <c r="H716" t="str">
        <f>VLOOKUP($B:$B,Products!$A:$D,3,FALSE)</f>
        <v>Electronics</v>
      </c>
      <c r="I716">
        <f>VLOOKUP($B:$B,Products!$A:$D,4,FALSE)</f>
        <v>17586</v>
      </c>
      <c r="J716" s="4">
        <f>VLOOKUP($A:$A,Sales!$B:$H,6,FALSE)</f>
        <v>45575</v>
      </c>
      <c r="K716" s="9">
        <f>VLOOKUP($A:$A,Sales!$B:$H,4,FALSE)</f>
        <v>1</v>
      </c>
      <c r="L716" s="5">
        <f t="shared" si="11"/>
        <v>17586</v>
      </c>
    </row>
    <row r="717" spans="1:12" x14ac:dyDescent="0.3">
      <c r="A717">
        <v>1120</v>
      </c>
      <c r="B717">
        <v>2012</v>
      </c>
      <c r="C717">
        <v>3033</v>
      </c>
      <c r="D717" t="str">
        <f>VLOOKUP('Sales table'!$A:$A,Customers!$A:$H,2,FALSE)</f>
        <v>Tracey Gibson</v>
      </c>
      <c r="E717">
        <f>VLOOKUP('Sales table'!$A:$A,Customers!$A:$H,4,FALSE)</f>
        <v>57</v>
      </c>
      <c r="F717" t="str">
        <f>VLOOKUP('Sales table'!$A:$A,Customers!$A:$H,5,FALSE)</f>
        <v>Mumbai</v>
      </c>
      <c r="G717" t="str">
        <f>VLOOKUP($B:$B,Products!$A:$D,2,FALSE)</f>
        <v>Wall Hanging</v>
      </c>
      <c r="H717" t="str">
        <f>VLOOKUP($B:$B,Products!$A:$D,3,FALSE)</f>
        <v>Home Decor</v>
      </c>
      <c r="I717">
        <f>VLOOKUP($B:$B,Products!$A:$D,4,FALSE)</f>
        <v>11867</v>
      </c>
      <c r="J717" s="4">
        <f>VLOOKUP($A:$A,Sales!$B:$H,6,FALSE)</f>
        <v>45615</v>
      </c>
      <c r="K717" s="9">
        <f>VLOOKUP($A:$A,Sales!$B:$H,4,FALSE)</f>
        <v>4</v>
      </c>
      <c r="L717" s="5">
        <f t="shared" si="11"/>
        <v>47468</v>
      </c>
    </row>
    <row r="718" spans="1:12" x14ac:dyDescent="0.3">
      <c r="A718">
        <v>1047</v>
      </c>
      <c r="B718">
        <v>2011</v>
      </c>
      <c r="C718">
        <v>3014</v>
      </c>
      <c r="D718" t="str">
        <f>VLOOKUP('Sales table'!$A:$A,Customers!$A:$H,2,FALSE)</f>
        <v>Lynn Henderson</v>
      </c>
      <c r="E718">
        <f>VLOOKUP('Sales table'!$A:$A,Customers!$A:$H,4,FALSE)</f>
        <v>40</v>
      </c>
      <c r="F718" t="str">
        <f>VLOOKUP('Sales table'!$A:$A,Customers!$A:$H,5,FALSE)</f>
        <v>Delhi</v>
      </c>
      <c r="G718" t="str">
        <f>VLOOKUP($B:$B,Products!$A:$D,2,FALSE)</f>
        <v>Festive Thali</v>
      </c>
      <c r="H718" t="str">
        <f>VLOOKUP($B:$B,Products!$A:$D,3,FALSE)</f>
        <v>Other</v>
      </c>
      <c r="I718">
        <f>VLOOKUP($B:$B,Products!$A:$D,4,FALSE)</f>
        <v>7481</v>
      </c>
      <c r="J718" s="4">
        <f>VLOOKUP($A:$A,Sales!$B:$H,6,FALSE)</f>
        <v>45600</v>
      </c>
      <c r="K718" s="9">
        <f>VLOOKUP($A:$A,Sales!$B:$H,4,FALSE)</f>
        <v>5</v>
      </c>
      <c r="L718" s="5">
        <f t="shared" si="11"/>
        <v>37405</v>
      </c>
    </row>
    <row r="719" spans="1:12" x14ac:dyDescent="0.3">
      <c r="A719">
        <v>1160</v>
      </c>
      <c r="B719">
        <v>2019</v>
      </c>
      <c r="C719">
        <v>3024</v>
      </c>
      <c r="D719" t="str">
        <f>VLOOKUP('Sales table'!$A:$A,Customers!$A:$H,2,FALSE)</f>
        <v>Adam Morris</v>
      </c>
      <c r="E719">
        <f>VLOOKUP('Sales table'!$A:$A,Customers!$A:$H,4,FALSE)</f>
        <v>26</v>
      </c>
      <c r="F719" t="str">
        <f>VLOOKUP('Sales table'!$A:$A,Customers!$A:$H,5,FALSE)</f>
        <v>Hyderabad</v>
      </c>
      <c r="G719" t="str">
        <f>VLOOKUP($B:$B,Products!$A:$D,2,FALSE)</f>
        <v>Designer Kurti</v>
      </c>
      <c r="H719" t="str">
        <f>VLOOKUP($B:$B,Products!$A:$D,3,FALSE)</f>
        <v>Clothing</v>
      </c>
      <c r="I719">
        <f>VLOOKUP($B:$B,Products!$A:$D,4,FALSE)</f>
        <v>13620</v>
      </c>
      <c r="J719" s="4">
        <f>VLOOKUP($A:$A,Sales!$B:$H,6,FALSE)</f>
        <v>45584</v>
      </c>
      <c r="K719" s="9">
        <f>VLOOKUP($A:$A,Sales!$B:$H,4,FALSE)</f>
        <v>5</v>
      </c>
      <c r="L719" s="5">
        <f t="shared" si="11"/>
        <v>68100</v>
      </c>
    </row>
    <row r="720" spans="1:12" x14ac:dyDescent="0.3">
      <c r="A720">
        <v>1053</v>
      </c>
      <c r="B720">
        <v>2015</v>
      </c>
      <c r="C720">
        <v>3023</v>
      </c>
      <c r="D720" t="str">
        <f>VLOOKUP('Sales table'!$A:$A,Customers!$A:$H,2,FALSE)</f>
        <v>Brandon Martin</v>
      </c>
      <c r="E720">
        <f>VLOOKUP('Sales table'!$A:$A,Customers!$A:$H,4,FALSE)</f>
        <v>52</v>
      </c>
      <c r="F720" t="str">
        <f>VLOOKUP('Sales table'!$A:$A,Customers!$A:$H,5,FALSE)</f>
        <v>Kolkata</v>
      </c>
      <c r="G720" t="str">
        <f>VLOOKUP($B:$B,Products!$A:$D,2,FALSE)</f>
        <v>Candle Set</v>
      </c>
      <c r="H720" t="str">
        <f>VLOOKUP($B:$B,Products!$A:$D,3,FALSE)</f>
        <v>Home Decor</v>
      </c>
      <c r="I720">
        <f>VLOOKUP($B:$B,Products!$A:$D,4,FALSE)</f>
        <v>17604</v>
      </c>
      <c r="J720" s="4">
        <f>VLOOKUP($A:$A,Sales!$B:$H,6,FALSE)</f>
        <v>45604</v>
      </c>
      <c r="K720" s="9">
        <f>VLOOKUP($A:$A,Sales!$B:$H,4,FALSE)</f>
        <v>3</v>
      </c>
      <c r="L720" s="5">
        <f t="shared" si="11"/>
        <v>52812</v>
      </c>
    </row>
    <row r="721" spans="1:12" x14ac:dyDescent="0.3">
      <c r="A721">
        <v>1174</v>
      </c>
      <c r="B721">
        <v>2021</v>
      </c>
      <c r="C721">
        <v>3002</v>
      </c>
      <c r="D721" t="str">
        <f>VLOOKUP('Sales table'!$A:$A,Customers!$A:$H,2,FALSE)</f>
        <v>Eric West</v>
      </c>
      <c r="E721">
        <f>VLOOKUP('Sales table'!$A:$A,Customers!$A:$H,4,FALSE)</f>
        <v>23</v>
      </c>
      <c r="F721" t="str">
        <f>VLOOKUP('Sales table'!$A:$A,Customers!$A:$H,5,FALSE)</f>
        <v>Hyderabad</v>
      </c>
      <c r="G721" t="str">
        <f>VLOOKUP($B:$B,Products!$A:$D,2,FALSE)</f>
        <v>Smartwatch</v>
      </c>
      <c r="H721" t="str">
        <f>VLOOKUP($B:$B,Products!$A:$D,3,FALSE)</f>
        <v>Electronics</v>
      </c>
      <c r="I721">
        <f>VLOOKUP($B:$B,Products!$A:$D,4,FALSE)</f>
        <v>17586</v>
      </c>
      <c r="J721" s="4">
        <f>VLOOKUP($A:$A,Sales!$B:$H,6,FALSE)</f>
        <v>45581</v>
      </c>
      <c r="K721" s="9">
        <f>VLOOKUP($A:$A,Sales!$B:$H,4,FALSE)</f>
        <v>3</v>
      </c>
      <c r="L721" s="5">
        <f t="shared" si="11"/>
        <v>52758</v>
      </c>
    </row>
    <row r="722" spans="1:12" x14ac:dyDescent="0.3">
      <c r="A722">
        <v>1290</v>
      </c>
      <c r="B722">
        <v>2002</v>
      </c>
      <c r="C722">
        <v>3017</v>
      </c>
      <c r="D722" t="str">
        <f>VLOOKUP('Sales table'!$A:$A,Customers!$A:$H,2,FALSE)</f>
        <v>James Mclean</v>
      </c>
      <c r="E722">
        <f>VLOOKUP('Sales table'!$A:$A,Customers!$A:$H,4,FALSE)</f>
        <v>19</v>
      </c>
      <c r="F722" t="str">
        <f>VLOOKUP('Sales table'!$A:$A,Customers!$A:$H,5,FALSE)</f>
        <v>Chennai</v>
      </c>
      <c r="G722" t="str">
        <f>VLOOKUP($B:$B,Products!$A:$D,2,FALSE)</f>
        <v>Saree</v>
      </c>
      <c r="H722" t="str">
        <f>VLOOKUP($B:$B,Products!$A:$D,3,FALSE)</f>
        <v>Clothing</v>
      </c>
      <c r="I722">
        <f>VLOOKUP($B:$B,Products!$A:$D,4,FALSE)</f>
        <v>9534</v>
      </c>
      <c r="J722" s="4">
        <f>VLOOKUP($A:$A,Sales!$B:$H,6,FALSE)</f>
        <v>45613</v>
      </c>
      <c r="K722" s="9">
        <f>VLOOKUP($A:$A,Sales!$B:$H,4,FALSE)</f>
        <v>4</v>
      </c>
      <c r="L722" s="5">
        <f t="shared" si="11"/>
        <v>38136</v>
      </c>
    </row>
    <row r="723" spans="1:12" x14ac:dyDescent="0.3">
      <c r="A723">
        <v>1175</v>
      </c>
      <c r="B723">
        <v>2022</v>
      </c>
      <c r="C723">
        <v>3019</v>
      </c>
      <c r="D723" t="str">
        <f>VLOOKUP('Sales table'!$A:$A,Customers!$A:$H,2,FALSE)</f>
        <v>Jeffrey Smith</v>
      </c>
      <c r="E723">
        <f>VLOOKUP('Sales table'!$A:$A,Customers!$A:$H,4,FALSE)</f>
        <v>51</v>
      </c>
      <c r="F723" t="str">
        <f>VLOOKUP('Sales table'!$A:$A,Customers!$A:$H,5,FALSE)</f>
        <v>Kolkata</v>
      </c>
      <c r="G723" t="str">
        <f>VLOOKUP($B:$B,Products!$A:$D,2,FALSE)</f>
        <v>Home Decor Statue</v>
      </c>
      <c r="H723" t="str">
        <f>VLOOKUP($B:$B,Products!$A:$D,3,FALSE)</f>
        <v>Home Decor</v>
      </c>
      <c r="I723">
        <f>VLOOKUP($B:$B,Products!$A:$D,4,FALSE)</f>
        <v>17149</v>
      </c>
      <c r="J723" s="4">
        <f>VLOOKUP($A:$A,Sales!$B:$H,6,FALSE)</f>
        <v>45611</v>
      </c>
      <c r="K723" s="9">
        <f>VLOOKUP($A:$A,Sales!$B:$H,4,FALSE)</f>
        <v>4</v>
      </c>
      <c r="L723" s="5">
        <f t="shared" si="11"/>
        <v>68596</v>
      </c>
    </row>
    <row r="724" spans="1:12" x14ac:dyDescent="0.3">
      <c r="A724">
        <v>1244</v>
      </c>
      <c r="B724">
        <v>2014</v>
      </c>
      <c r="C724">
        <v>3004</v>
      </c>
      <c r="D724" t="str">
        <f>VLOOKUP('Sales table'!$A:$A,Customers!$A:$H,2,FALSE)</f>
        <v>Leonard Kim</v>
      </c>
      <c r="E724">
        <f>VLOOKUP('Sales table'!$A:$A,Customers!$A:$H,4,FALSE)</f>
        <v>18</v>
      </c>
      <c r="F724" t="str">
        <f>VLOOKUP('Sales table'!$A:$A,Customers!$A:$H,5,FALSE)</f>
        <v>Hyderabad</v>
      </c>
      <c r="G724" t="str">
        <f>VLOOKUP($B:$B,Products!$A:$D,2,FALSE)</f>
        <v>Gold Coin</v>
      </c>
      <c r="H724" t="str">
        <f>VLOOKUP($B:$B,Products!$A:$D,3,FALSE)</f>
        <v>Precious Items</v>
      </c>
      <c r="I724">
        <f>VLOOKUP($B:$B,Products!$A:$D,4,FALSE)</f>
        <v>13823</v>
      </c>
      <c r="J724" s="4">
        <f>VLOOKUP($A:$A,Sales!$B:$H,6,FALSE)</f>
        <v>45589</v>
      </c>
      <c r="K724" s="9">
        <f>VLOOKUP($A:$A,Sales!$B:$H,4,FALSE)</f>
        <v>1</v>
      </c>
      <c r="L724" s="5">
        <f t="shared" si="11"/>
        <v>13823</v>
      </c>
    </row>
    <row r="725" spans="1:12" x14ac:dyDescent="0.3">
      <c r="A725">
        <v>1061</v>
      </c>
      <c r="B725">
        <v>2006</v>
      </c>
      <c r="C725">
        <v>3028</v>
      </c>
      <c r="D725" t="str">
        <f>VLOOKUP('Sales table'!$A:$A,Customers!$A:$H,2,FALSE)</f>
        <v>Alexander Gonzalez</v>
      </c>
      <c r="E725">
        <f>VLOOKUP('Sales table'!$A:$A,Customers!$A:$H,4,FALSE)</f>
        <v>53</v>
      </c>
      <c r="F725" t="str">
        <f>VLOOKUP('Sales table'!$A:$A,Customers!$A:$H,5,FALSE)</f>
        <v>Pune</v>
      </c>
      <c r="G725" t="str">
        <f>VLOOKUP($B:$B,Products!$A:$D,2,FALSE)</f>
        <v>Crackers Pack</v>
      </c>
      <c r="H725" t="str">
        <f>VLOOKUP($B:$B,Products!$A:$D,3,FALSE)</f>
        <v>Crackers</v>
      </c>
      <c r="I725">
        <f>VLOOKUP($B:$B,Products!$A:$D,4,FALSE)</f>
        <v>12060</v>
      </c>
      <c r="J725" s="4">
        <f>VLOOKUP($A:$A,Sales!$B:$H,6,FALSE)</f>
        <v>45579</v>
      </c>
      <c r="K725" s="9">
        <f>VLOOKUP($A:$A,Sales!$B:$H,4,FALSE)</f>
        <v>3</v>
      </c>
      <c r="L725" s="5">
        <f t="shared" si="11"/>
        <v>36180</v>
      </c>
    </row>
    <row r="726" spans="1:12" x14ac:dyDescent="0.3">
      <c r="A726">
        <v>1126</v>
      </c>
      <c r="B726">
        <v>2009</v>
      </c>
      <c r="C726">
        <v>3020</v>
      </c>
      <c r="D726" t="str">
        <f>VLOOKUP('Sales table'!$A:$A,Customers!$A:$H,2,FALSE)</f>
        <v>Michael Dawson</v>
      </c>
      <c r="E726">
        <f>VLOOKUP('Sales table'!$A:$A,Customers!$A:$H,4,FALSE)</f>
        <v>63</v>
      </c>
      <c r="F726" t="str">
        <f>VLOOKUP('Sales table'!$A:$A,Customers!$A:$H,5,FALSE)</f>
        <v>Chennai</v>
      </c>
      <c r="G726" t="str">
        <f>VLOOKUP($B:$B,Products!$A:$D,2,FALSE)</f>
        <v>Bluetooth Speaker</v>
      </c>
      <c r="H726" t="str">
        <f>VLOOKUP($B:$B,Products!$A:$D,3,FALSE)</f>
        <v>Electronics</v>
      </c>
      <c r="I726">
        <f>VLOOKUP($B:$B,Products!$A:$D,4,FALSE)</f>
        <v>11047</v>
      </c>
      <c r="J726" s="4">
        <f>VLOOKUP($A:$A,Sales!$B:$H,6,FALSE)</f>
        <v>45595</v>
      </c>
      <c r="K726" s="9">
        <f>VLOOKUP($A:$A,Sales!$B:$H,4,FALSE)</f>
        <v>5</v>
      </c>
      <c r="L726" s="5">
        <f t="shared" si="11"/>
        <v>55235</v>
      </c>
    </row>
    <row r="727" spans="1:12" x14ac:dyDescent="0.3">
      <c r="A727">
        <v>1244</v>
      </c>
      <c r="B727">
        <v>2002</v>
      </c>
      <c r="C727">
        <v>3011</v>
      </c>
      <c r="D727" t="str">
        <f>VLOOKUP('Sales table'!$A:$A,Customers!$A:$H,2,FALSE)</f>
        <v>Leonard Kim</v>
      </c>
      <c r="E727">
        <f>VLOOKUP('Sales table'!$A:$A,Customers!$A:$H,4,FALSE)</f>
        <v>18</v>
      </c>
      <c r="F727" t="str">
        <f>VLOOKUP('Sales table'!$A:$A,Customers!$A:$H,5,FALSE)</f>
        <v>Hyderabad</v>
      </c>
      <c r="G727" t="str">
        <f>VLOOKUP($B:$B,Products!$A:$D,2,FALSE)</f>
        <v>Saree</v>
      </c>
      <c r="H727" t="str">
        <f>VLOOKUP($B:$B,Products!$A:$D,3,FALSE)</f>
        <v>Clothing</v>
      </c>
      <c r="I727">
        <f>VLOOKUP($B:$B,Products!$A:$D,4,FALSE)</f>
        <v>9534</v>
      </c>
      <c r="J727" s="4">
        <f>VLOOKUP($A:$A,Sales!$B:$H,6,FALSE)</f>
        <v>45589</v>
      </c>
      <c r="K727" s="9">
        <f>VLOOKUP($A:$A,Sales!$B:$H,4,FALSE)</f>
        <v>1</v>
      </c>
      <c r="L727" s="5">
        <f t="shared" si="11"/>
        <v>9534</v>
      </c>
    </row>
    <row r="728" spans="1:12" x14ac:dyDescent="0.3">
      <c r="A728">
        <v>1278</v>
      </c>
      <c r="B728">
        <v>2001</v>
      </c>
      <c r="C728">
        <v>3026</v>
      </c>
      <c r="D728" t="str">
        <f>VLOOKUP('Sales table'!$A:$A,Customers!$A:$H,2,FALSE)</f>
        <v>Jessica Coleman</v>
      </c>
      <c r="E728">
        <f>VLOOKUP('Sales table'!$A:$A,Customers!$A:$H,4,FALSE)</f>
        <v>21</v>
      </c>
      <c r="F728" t="str">
        <f>VLOOKUP('Sales table'!$A:$A,Customers!$A:$H,5,FALSE)</f>
        <v>Kolkata</v>
      </c>
      <c r="G728" t="str">
        <f>VLOOKUP($B:$B,Products!$A:$D,2,FALSE)</f>
        <v>Sweets Box</v>
      </c>
      <c r="H728" t="str">
        <f>VLOOKUP($B:$B,Products!$A:$D,3,FALSE)</f>
        <v>Sweets &amp; Gifts</v>
      </c>
      <c r="I728">
        <f>VLOOKUP($B:$B,Products!$A:$D,4,FALSE)</f>
        <v>7228</v>
      </c>
      <c r="J728" s="4">
        <f>VLOOKUP($A:$A,Sales!$B:$H,6,FALSE)</f>
        <v>45613</v>
      </c>
      <c r="K728" s="9">
        <f>VLOOKUP($A:$A,Sales!$B:$H,4,FALSE)</f>
        <v>3</v>
      </c>
      <c r="L728" s="5">
        <f t="shared" si="11"/>
        <v>21684</v>
      </c>
    </row>
    <row r="729" spans="1:12" x14ac:dyDescent="0.3">
      <c r="A729">
        <v>1129</v>
      </c>
      <c r="B729">
        <v>2013</v>
      </c>
      <c r="C729">
        <v>3003</v>
      </c>
      <c r="D729" t="str">
        <f>VLOOKUP('Sales table'!$A:$A,Customers!$A:$H,2,FALSE)</f>
        <v>Christopher Wagner</v>
      </c>
      <c r="E729">
        <f>VLOOKUP('Sales table'!$A:$A,Customers!$A:$H,4,FALSE)</f>
        <v>60</v>
      </c>
      <c r="F729" t="str">
        <f>VLOOKUP('Sales table'!$A:$A,Customers!$A:$H,5,FALSE)</f>
        <v>Hyderabad</v>
      </c>
      <c r="G729" t="str">
        <f>VLOOKUP($B:$B,Products!$A:$D,2,FALSE)</f>
        <v>Silver Coin</v>
      </c>
      <c r="H729" t="str">
        <f>VLOOKUP($B:$B,Products!$A:$D,3,FALSE)</f>
        <v>Precious Items</v>
      </c>
      <c r="I729">
        <f>VLOOKUP($B:$B,Products!$A:$D,4,FALSE)</f>
        <v>11845</v>
      </c>
      <c r="J729" s="4">
        <f>VLOOKUP($A:$A,Sales!$B:$H,6,FALSE)</f>
        <v>45609</v>
      </c>
      <c r="K729" s="9">
        <f>VLOOKUP($A:$A,Sales!$B:$H,4,FALSE)</f>
        <v>1</v>
      </c>
      <c r="L729" s="5">
        <f t="shared" si="11"/>
        <v>11845</v>
      </c>
    </row>
    <row r="730" spans="1:12" x14ac:dyDescent="0.3">
      <c r="A730">
        <v>1165</v>
      </c>
      <c r="B730">
        <v>2020</v>
      </c>
      <c r="C730">
        <v>3008</v>
      </c>
      <c r="D730" t="str">
        <f>VLOOKUP('Sales table'!$A:$A,Customers!$A:$H,2,FALSE)</f>
        <v>Amanda Carter</v>
      </c>
      <c r="E730">
        <f>VLOOKUP('Sales table'!$A:$A,Customers!$A:$H,4,FALSE)</f>
        <v>38</v>
      </c>
      <c r="F730" t="str">
        <f>VLOOKUP('Sales table'!$A:$A,Customers!$A:$H,5,FALSE)</f>
        <v>Kolkata</v>
      </c>
      <c r="G730" t="str">
        <f>VLOOKUP($B:$B,Products!$A:$D,2,FALSE)</f>
        <v>Ethnic Jewelry</v>
      </c>
      <c r="H730" t="str">
        <f>VLOOKUP($B:$B,Products!$A:$D,3,FALSE)</f>
        <v>Precious Items</v>
      </c>
      <c r="I730">
        <f>VLOOKUP($B:$B,Products!$A:$D,4,FALSE)</f>
        <v>4495</v>
      </c>
      <c r="J730" s="4">
        <f>VLOOKUP($A:$A,Sales!$B:$H,6,FALSE)</f>
        <v>45612</v>
      </c>
      <c r="K730" s="9">
        <f>VLOOKUP($A:$A,Sales!$B:$H,4,FALSE)</f>
        <v>4</v>
      </c>
      <c r="L730" s="5">
        <f t="shared" si="11"/>
        <v>17980</v>
      </c>
    </row>
    <row r="731" spans="1:12" x14ac:dyDescent="0.3">
      <c r="A731">
        <v>1224</v>
      </c>
      <c r="B731">
        <v>2002</v>
      </c>
      <c r="C731">
        <v>3011</v>
      </c>
      <c r="D731" t="str">
        <f>VLOOKUP('Sales table'!$A:$A,Customers!$A:$H,2,FALSE)</f>
        <v>Joseph Garrett</v>
      </c>
      <c r="E731">
        <f>VLOOKUP('Sales table'!$A:$A,Customers!$A:$H,4,FALSE)</f>
        <v>58</v>
      </c>
      <c r="F731" t="str">
        <f>VLOOKUP('Sales table'!$A:$A,Customers!$A:$H,5,FALSE)</f>
        <v>Pune</v>
      </c>
      <c r="G731" t="str">
        <f>VLOOKUP($B:$B,Products!$A:$D,2,FALSE)</f>
        <v>Saree</v>
      </c>
      <c r="H731" t="str">
        <f>VLOOKUP($B:$B,Products!$A:$D,3,FALSE)</f>
        <v>Clothing</v>
      </c>
      <c r="I731">
        <f>VLOOKUP($B:$B,Products!$A:$D,4,FALSE)</f>
        <v>9534</v>
      </c>
      <c r="J731" s="4">
        <f>VLOOKUP($A:$A,Sales!$B:$H,6,FALSE)</f>
        <v>45609</v>
      </c>
      <c r="K731" s="9">
        <f>VLOOKUP($A:$A,Sales!$B:$H,4,FALSE)</f>
        <v>2</v>
      </c>
      <c r="L731" s="5">
        <f t="shared" si="11"/>
        <v>19068</v>
      </c>
    </row>
    <row r="732" spans="1:12" x14ac:dyDescent="0.3">
      <c r="A732">
        <v>1080</v>
      </c>
      <c r="B732">
        <v>2013</v>
      </c>
      <c r="C732">
        <v>3016</v>
      </c>
      <c r="D732" t="str">
        <f>VLOOKUP('Sales table'!$A:$A,Customers!$A:$H,2,FALSE)</f>
        <v>Colleen Underwood</v>
      </c>
      <c r="E732">
        <f>VLOOKUP('Sales table'!$A:$A,Customers!$A:$H,4,FALSE)</f>
        <v>23</v>
      </c>
      <c r="F732" t="str">
        <f>VLOOKUP('Sales table'!$A:$A,Customers!$A:$H,5,FALSE)</f>
        <v>Hyderabad</v>
      </c>
      <c r="G732" t="str">
        <f>VLOOKUP($B:$B,Products!$A:$D,2,FALSE)</f>
        <v>Silver Coin</v>
      </c>
      <c r="H732" t="str">
        <f>VLOOKUP($B:$B,Products!$A:$D,3,FALSE)</f>
        <v>Precious Items</v>
      </c>
      <c r="I732">
        <f>VLOOKUP($B:$B,Products!$A:$D,4,FALSE)</f>
        <v>11845</v>
      </c>
      <c r="J732" s="4">
        <f>VLOOKUP($A:$A,Sales!$B:$H,6,FALSE)</f>
        <v>45580</v>
      </c>
      <c r="K732" s="9">
        <f>VLOOKUP($A:$A,Sales!$B:$H,4,FALSE)</f>
        <v>4</v>
      </c>
      <c r="L732" s="5">
        <f t="shared" si="11"/>
        <v>47380</v>
      </c>
    </row>
    <row r="733" spans="1:12" x14ac:dyDescent="0.3">
      <c r="A733">
        <v>1138</v>
      </c>
      <c r="B733">
        <v>2016</v>
      </c>
      <c r="C733">
        <v>3025</v>
      </c>
      <c r="D733" t="str">
        <f>VLOOKUP('Sales table'!$A:$A,Customers!$A:$H,2,FALSE)</f>
        <v>Timothy Wells</v>
      </c>
      <c r="E733">
        <f>VLOOKUP('Sales table'!$A:$A,Customers!$A:$H,4,FALSE)</f>
        <v>18</v>
      </c>
      <c r="F733" t="str">
        <f>VLOOKUP('Sales table'!$A:$A,Customers!$A:$H,5,FALSE)</f>
        <v>Hyderabad</v>
      </c>
      <c r="G733" t="str">
        <f>VLOOKUP($B:$B,Products!$A:$D,2,FALSE)</f>
        <v>Fairy Lights</v>
      </c>
      <c r="H733" t="str">
        <f>VLOOKUP($B:$B,Products!$A:$D,3,FALSE)</f>
        <v>Home Decor</v>
      </c>
      <c r="I733">
        <f>VLOOKUP($B:$B,Products!$A:$D,4,FALSE)</f>
        <v>12242</v>
      </c>
      <c r="J733" s="4">
        <f>VLOOKUP($A:$A,Sales!$B:$H,6,FALSE)</f>
        <v>45586</v>
      </c>
      <c r="K733" s="9">
        <f>VLOOKUP($A:$A,Sales!$B:$H,4,FALSE)</f>
        <v>1</v>
      </c>
      <c r="L733" s="5">
        <f t="shared" si="11"/>
        <v>12242</v>
      </c>
    </row>
    <row r="734" spans="1:12" x14ac:dyDescent="0.3">
      <c r="A734">
        <v>1279</v>
      </c>
      <c r="B734">
        <v>2024</v>
      </c>
      <c r="C734">
        <v>3002</v>
      </c>
      <c r="D734" t="str">
        <f>VLOOKUP('Sales table'!$A:$A,Customers!$A:$H,2,FALSE)</f>
        <v>Erin Mann</v>
      </c>
      <c r="E734">
        <f>VLOOKUP('Sales table'!$A:$A,Customers!$A:$H,4,FALSE)</f>
        <v>52</v>
      </c>
      <c r="F734" t="str">
        <f>VLOOKUP('Sales table'!$A:$A,Customers!$A:$H,5,FALSE)</f>
        <v>Delhi</v>
      </c>
      <c r="G734" t="str">
        <f>VLOOKUP($B:$B,Products!$A:$D,2,FALSE)</f>
        <v>Perfume Gift Set</v>
      </c>
      <c r="H734" t="str">
        <f>VLOOKUP($B:$B,Products!$A:$D,3,FALSE)</f>
        <v>Accessories</v>
      </c>
      <c r="I734">
        <f>VLOOKUP($B:$B,Products!$A:$D,4,FALSE)</f>
        <v>16272</v>
      </c>
      <c r="J734" s="4">
        <f>VLOOKUP($A:$A,Sales!$B:$H,6,FALSE)</f>
        <v>45611</v>
      </c>
      <c r="K734" s="9">
        <f>VLOOKUP($A:$A,Sales!$B:$H,4,FALSE)</f>
        <v>5</v>
      </c>
      <c r="L734" s="5">
        <f t="shared" si="11"/>
        <v>81360</v>
      </c>
    </row>
    <row r="735" spans="1:12" x14ac:dyDescent="0.3">
      <c r="A735">
        <v>1287</v>
      </c>
      <c r="B735">
        <v>2023</v>
      </c>
      <c r="C735">
        <v>3032</v>
      </c>
      <c r="D735" t="str">
        <f>VLOOKUP('Sales table'!$A:$A,Customers!$A:$H,2,FALSE)</f>
        <v>David White</v>
      </c>
      <c r="E735">
        <f>VLOOKUP('Sales table'!$A:$A,Customers!$A:$H,4,FALSE)</f>
        <v>29</v>
      </c>
      <c r="F735" t="str">
        <f>VLOOKUP('Sales table'!$A:$A,Customers!$A:$H,5,FALSE)</f>
        <v>Pune</v>
      </c>
      <c r="G735" t="str">
        <f>VLOOKUP($B:$B,Products!$A:$D,2,FALSE)</f>
        <v>Kids Wear</v>
      </c>
      <c r="H735" t="str">
        <f>VLOOKUP($B:$B,Products!$A:$D,3,FALSE)</f>
        <v>Clothing</v>
      </c>
      <c r="I735">
        <f>VLOOKUP($B:$B,Products!$A:$D,4,FALSE)</f>
        <v>4794</v>
      </c>
      <c r="J735" s="4">
        <f>VLOOKUP($A:$A,Sales!$B:$H,6,FALSE)</f>
        <v>45598</v>
      </c>
      <c r="K735" s="9">
        <f>VLOOKUP($A:$A,Sales!$B:$H,4,FALSE)</f>
        <v>5</v>
      </c>
      <c r="L735" s="5">
        <f t="shared" si="11"/>
        <v>23970</v>
      </c>
    </row>
    <row r="736" spans="1:12" x14ac:dyDescent="0.3">
      <c r="A736">
        <v>1011</v>
      </c>
      <c r="B736">
        <v>2017</v>
      </c>
      <c r="C736">
        <v>3012</v>
      </c>
      <c r="D736" t="str">
        <f>VLOOKUP('Sales table'!$A:$A,Customers!$A:$H,2,FALSE)</f>
        <v>Lindsey West</v>
      </c>
      <c r="E736">
        <f>VLOOKUP('Sales table'!$A:$A,Customers!$A:$H,4,FALSE)</f>
        <v>19</v>
      </c>
      <c r="F736" t="str">
        <f>VLOOKUP('Sales table'!$A:$A,Customers!$A:$H,5,FALSE)</f>
        <v>Hyderabad</v>
      </c>
      <c r="G736" t="str">
        <f>VLOOKUP($B:$B,Products!$A:$D,2,FALSE)</f>
        <v>Handmade Pottery</v>
      </c>
      <c r="H736" t="str">
        <f>VLOOKUP($B:$B,Products!$A:$D,3,FALSE)</f>
        <v>Home Decor</v>
      </c>
      <c r="I736">
        <f>VLOOKUP($B:$B,Products!$A:$D,4,FALSE)</f>
        <v>8186</v>
      </c>
      <c r="J736" s="4">
        <f>VLOOKUP($A:$A,Sales!$B:$H,6,FALSE)</f>
        <v>45575</v>
      </c>
      <c r="K736" s="9">
        <f>VLOOKUP($A:$A,Sales!$B:$H,4,FALSE)</f>
        <v>3</v>
      </c>
      <c r="L736" s="5">
        <f t="shared" si="11"/>
        <v>24558</v>
      </c>
    </row>
    <row r="737" spans="1:12" x14ac:dyDescent="0.3">
      <c r="A737">
        <v>1265</v>
      </c>
      <c r="B737">
        <v>2004</v>
      </c>
      <c r="C737">
        <v>3021</v>
      </c>
      <c r="D737" t="str">
        <f>VLOOKUP('Sales table'!$A:$A,Customers!$A:$H,2,FALSE)</f>
        <v>Cynthia Chen</v>
      </c>
      <c r="E737">
        <f>VLOOKUP('Sales table'!$A:$A,Customers!$A:$H,4,FALSE)</f>
        <v>30</v>
      </c>
      <c r="F737" t="str">
        <f>VLOOKUP('Sales table'!$A:$A,Customers!$A:$H,5,FALSE)</f>
        <v>Mumbai</v>
      </c>
      <c r="G737" t="str">
        <f>VLOOKUP($B:$B,Products!$A:$D,2,FALSE)</f>
        <v>Smartphone</v>
      </c>
      <c r="H737" t="str">
        <f>VLOOKUP($B:$B,Products!$A:$D,3,FALSE)</f>
        <v>Electronics</v>
      </c>
      <c r="I737">
        <f>VLOOKUP($B:$B,Products!$A:$D,4,FALSE)</f>
        <v>4952</v>
      </c>
      <c r="J737" s="4">
        <f>VLOOKUP($A:$A,Sales!$B:$H,6,FALSE)</f>
        <v>45602</v>
      </c>
      <c r="K737" s="9">
        <f>VLOOKUP($A:$A,Sales!$B:$H,4,FALSE)</f>
        <v>2</v>
      </c>
      <c r="L737" s="5">
        <f t="shared" si="11"/>
        <v>9904</v>
      </c>
    </row>
    <row r="738" spans="1:12" x14ac:dyDescent="0.3">
      <c r="A738">
        <v>1276</v>
      </c>
      <c r="B738">
        <v>2005</v>
      </c>
      <c r="C738">
        <v>3016</v>
      </c>
      <c r="D738" t="str">
        <f>VLOOKUP('Sales table'!$A:$A,Customers!$A:$H,2,FALSE)</f>
        <v>Miss Tammy Cooper</v>
      </c>
      <c r="E738">
        <f>VLOOKUP('Sales table'!$A:$A,Customers!$A:$H,4,FALSE)</f>
        <v>42</v>
      </c>
      <c r="F738" t="str">
        <f>VLOOKUP('Sales table'!$A:$A,Customers!$A:$H,5,FALSE)</f>
        <v>Mumbai</v>
      </c>
      <c r="G738" t="str">
        <f>VLOOKUP($B:$B,Products!$A:$D,2,FALSE)</f>
        <v>LED Lamp</v>
      </c>
      <c r="H738" t="str">
        <f>VLOOKUP($B:$B,Products!$A:$D,3,FALSE)</f>
        <v>Home Decor</v>
      </c>
      <c r="I738">
        <f>VLOOKUP($B:$B,Products!$A:$D,4,FALSE)</f>
        <v>3828</v>
      </c>
      <c r="J738" s="4">
        <f>VLOOKUP($A:$A,Sales!$B:$H,6,FALSE)</f>
        <v>45611</v>
      </c>
      <c r="K738" s="9">
        <f>VLOOKUP($A:$A,Sales!$B:$H,4,FALSE)</f>
        <v>4</v>
      </c>
      <c r="L738" s="5">
        <f t="shared" si="11"/>
        <v>15312</v>
      </c>
    </row>
    <row r="739" spans="1:12" x14ac:dyDescent="0.3">
      <c r="A739">
        <v>1136</v>
      </c>
      <c r="B739">
        <v>2016</v>
      </c>
      <c r="C739">
        <v>3004</v>
      </c>
      <c r="D739" t="str">
        <f>VLOOKUP('Sales table'!$A:$A,Customers!$A:$H,2,FALSE)</f>
        <v>Brooke Oliver</v>
      </c>
      <c r="E739">
        <f>VLOOKUP('Sales table'!$A:$A,Customers!$A:$H,4,FALSE)</f>
        <v>30</v>
      </c>
      <c r="F739" t="str">
        <f>VLOOKUP('Sales table'!$A:$A,Customers!$A:$H,5,FALSE)</f>
        <v>Chennai</v>
      </c>
      <c r="G739" t="str">
        <f>VLOOKUP($B:$B,Products!$A:$D,2,FALSE)</f>
        <v>Fairy Lights</v>
      </c>
      <c r="H739" t="str">
        <f>VLOOKUP($B:$B,Products!$A:$D,3,FALSE)</f>
        <v>Home Decor</v>
      </c>
      <c r="I739">
        <f>VLOOKUP($B:$B,Products!$A:$D,4,FALSE)</f>
        <v>12242</v>
      </c>
      <c r="J739" s="4">
        <f>VLOOKUP($A:$A,Sales!$B:$H,6,FALSE)</f>
        <v>45587</v>
      </c>
      <c r="K739" s="9">
        <f>VLOOKUP($A:$A,Sales!$B:$H,4,FALSE)</f>
        <v>4</v>
      </c>
      <c r="L739" s="5">
        <f t="shared" si="11"/>
        <v>48968</v>
      </c>
    </row>
    <row r="740" spans="1:12" x14ac:dyDescent="0.3">
      <c r="A740">
        <v>1138</v>
      </c>
      <c r="B740">
        <v>2009</v>
      </c>
      <c r="C740">
        <v>3010</v>
      </c>
      <c r="D740" t="str">
        <f>VLOOKUP('Sales table'!$A:$A,Customers!$A:$H,2,FALSE)</f>
        <v>Timothy Wells</v>
      </c>
      <c r="E740">
        <f>VLOOKUP('Sales table'!$A:$A,Customers!$A:$H,4,FALSE)</f>
        <v>18</v>
      </c>
      <c r="F740" t="str">
        <f>VLOOKUP('Sales table'!$A:$A,Customers!$A:$H,5,FALSE)</f>
        <v>Hyderabad</v>
      </c>
      <c r="G740" t="str">
        <f>VLOOKUP($B:$B,Products!$A:$D,2,FALSE)</f>
        <v>Bluetooth Speaker</v>
      </c>
      <c r="H740" t="str">
        <f>VLOOKUP($B:$B,Products!$A:$D,3,FALSE)</f>
        <v>Electronics</v>
      </c>
      <c r="I740">
        <f>VLOOKUP($B:$B,Products!$A:$D,4,FALSE)</f>
        <v>11047</v>
      </c>
      <c r="J740" s="4">
        <f>VLOOKUP($A:$A,Sales!$B:$H,6,FALSE)</f>
        <v>45586</v>
      </c>
      <c r="K740" s="9">
        <f>VLOOKUP($A:$A,Sales!$B:$H,4,FALSE)</f>
        <v>1</v>
      </c>
      <c r="L740" s="5">
        <f t="shared" si="11"/>
        <v>11047</v>
      </c>
    </row>
    <row r="741" spans="1:12" x14ac:dyDescent="0.3">
      <c r="A741">
        <v>1240</v>
      </c>
      <c r="B741">
        <v>2002</v>
      </c>
      <c r="C741">
        <v>3002</v>
      </c>
      <c r="D741" t="str">
        <f>VLOOKUP('Sales table'!$A:$A,Customers!$A:$H,2,FALSE)</f>
        <v>Sally Stewart</v>
      </c>
      <c r="E741">
        <f>VLOOKUP('Sales table'!$A:$A,Customers!$A:$H,4,FALSE)</f>
        <v>26</v>
      </c>
      <c r="F741" t="str">
        <f>VLOOKUP('Sales table'!$A:$A,Customers!$A:$H,5,FALSE)</f>
        <v>Pune</v>
      </c>
      <c r="G741" t="str">
        <f>VLOOKUP($B:$B,Products!$A:$D,2,FALSE)</f>
        <v>Saree</v>
      </c>
      <c r="H741" t="str">
        <f>VLOOKUP($B:$B,Products!$A:$D,3,FALSE)</f>
        <v>Clothing</v>
      </c>
      <c r="I741">
        <f>VLOOKUP($B:$B,Products!$A:$D,4,FALSE)</f>
        <v>9534</v>
      </c>
      <c r="J741" s="4">
        <f>VLOOKUP($A:$A,Sales!$B:$H,6,FALSE)</f>
        <v>45605</v>
      </c>
      <c r="K741" s="9">
        <f>VLOOKUP($A:$A,Sales!$B:$H,4,FALSE)</f>
        <v>1</v>
      </c>
      <c r="L741" s="5">
        <f t="shared" si="11"/>
        <v>9534</v>
      </c>
    </row>
    <row r="742" spans="1:12" x14ac:dyDescent="0.3">
      <c r="A742">
        <v>1116</v>
      </c>
      <c r="B742">
        <v>2002</v>
      </c>
      <c r="C742">
        <v>3004</v>
      </c>
      <c r="D742" t="str">
        <f>VLOOKUP('Sales table'!$A:$A,Customers!$A:$H,2,FALSE)</f>
        <v>Connie Rogers</v>
      </c>
      <c r="E742">
        <f>VLOOKUP('Sales table'!$A:$A,Customers!$A:$H,4,FALSE)</f>
        <v>33</v>
      </c>
      <c r="F742" t="str">
        <f>VLOOKUP('Sales table'!$A:$A,Customers!$A:$H,5,FALSE)</f>
        <v>Mumbai</v>
      </c>
      <c r="G742" t="str">
        <f>VLOOKUP($B:$B,Products!$A:$D,2,FALSE)</f>
        <v>Saree</v>
      </c>
      <c r="H742" t="str">
        <f>VLOOKUP($B:$B,Products!$A:$D,3,FALSE)</f>
        <v>Clothing</v>
      </c>
      <c r="I742">
        <f>VLOOKUP($B:$B,Products!$A:$D,4,FALSE)</f>
        <v>9534</v>
      </c>
      <c r="J742" s="4">
        <f>VLOOKUP($A:$A,Sales!$B:$H,6,FALSE)</f>
        <v>45586</v>
      </c>
      <c r="K742" s="9">
        <f>VLOOKUP($A:$A,Sales!$B:$H,4,FALSE)</f>
        <v>5</v>
      </c>
      <c r="L742" s="5">
        <f t="shared" si="11"/>
        <v>47670</v>
      </c>
    </row>
    <row r="743" spans="1:12" x14ac:dyDescent="0.3">
      <c r="A743">
        <v>1025</v>
      </c>
      <c r="B743">
        <v>2006</v>
      </c>
      <c r="C743">
        <v>3024</v>
      </c>
      <c r="D743" t="str">
        <f>VLOOKUP('Sales table'!$A:$A,Customers!$A:$H,2,FALSE)</f>
        <v>Susan Wheeler</v>
      </c>
      <c r="E743">
        <f>VLOOKUP('Sales table'!$A:$A,Customers!$A:$H,4,FALSE)</f>
        <v>36</v>
      </c>
      <c r="F743" t="str">
        <f>VLOOKUP('Sales table'!$A:$A,Customers!$A:$H,5,FALSE)</f>
        <v>Kolkata</v>
      </c>
      <c r="G743" t="str">
        <f>VLOOKUP($B:$B,Products!$A:$D,2,FALSE)</f>
        <v>Crackers Pack</v>
      </c>
      <c r="H743" t="str">
        <f>VLOOKUP($B:$B,Products!$A:$D,3,FALSE)</f>
        <v>Crackers</v>
      </c>
      <c r="I743">
        <f>VLOOKUP($B:$B,Products!$A:$D,4,FALSE)</f>
        <v>12060</v>
      </c>
      <c r="J743" s="4">
        <f>VLOOKUP($A:$A,Sales!$B:$H,6,FALSE)</f>
        <v>45591</v>
      </c>
      <c r="K743" s="9">
        <f>VLOOKUP($A:$A,Sales!$B:$H,4,FALSE)</f>
        <v>2</v>
      </c>
      <c r="L743" s="5">
        <f t="shared" si="11"/>
        <v>24120</v>
      </c>
    </row>
    <row r="744" spans="1:12" x14ac:dyDescent="0.3">
      <c r="A744">
        <v>1127</v>
      </c>
      <c r="B744">
        <v>2013</v>
      </c>
      <c r="C744">
        <v>3018</v>
      </c>
      <c r="D744" t="str">
        <f>VLOOKUP('Sales table'!$A:$A,Customers!$A:$H,2,FALSE)</f>
        <v>Tom Irwin</v>
      </c>
      <c r="E744">
        <f>VLOOKUP('Sales table'!$A:$A,Customers!$A:$H,4,FALSE)</f>
        <v>38</v>
      </c>
      <c r="F744" t="str">
        <f>VLOOKUP('Sales table'!$A:$A,Customers!$A:$H,5,FALSE)</f>
        <v>Delhi</v>
      </c>
      <c r="G744" t="str">
        <f>VLOOKUP($B:$B,Products!$A:$D,2,FALSE)</f>
        <v>Silver Coin</v>
      </c>
      <c r="H744" t="str">
        <f>VLOOKUP($B:$B,Products!$A:$D,3,FALSE)</f>
        <v>Precious Items</v>
      </c>
      <c r="I744">
        <f>VLOOKUP($B:$B,Products!$A:$D,4,FALSE)</f>
        <v>11845</v>
      </c>
      <c r="J744" s="4">
        <f>VLOOKUP($A:$A,Sales!$B:$H,6,FALSE)</f>
        <v>45600</v>
      </c>
      <c r="K744" s="9">
        <f>VLOOKUP($A:$A,Sales!$B:$H,4,FALSE)</f>
        <v>4</v>
      </c>
      <c r="L744" s="5">
        <f t="shared" si="11"/>
        <v>47380</v>
      </c>
    </row>
    <row r="745" spans="1:12" x14ac:dyDescent="0.3">
      <c r="A745">
        <v>1060</v>
      </c>
      <c r="B745">
        <v>2008</v>
      </c>
      <c r="C745">
        <v>3034</v>
      </c>
      <c r="D745" t="str">
        <f>VLOOKUP('Sales table'!$A:$A,Customers!$A:$H,2,FALSE)</f>
        <v>Kayla Aguilar</v>
      </c>
      <c r="E745">
        <f>VLOOKUP('Sales table'!$A:$A,Customers!$A:$H,4,FALSE)</f>
        <v>27</v>
      </c>
      <c r="F745" t="str">
        <f>VLOOKUP('Sales table'!$A:$A,Customers!$A:$H,5,FALSE)</f>
        <v>Hyderabad</v>
      </c>
      <c r="G745" t="str">
        <f>VLOOKUP($B:$B,Products!$A:$D,2,FALSE)</f>
        <v>Earthen Diyas</v>
      </c>
      <c r="H745" t="str">
        <f>VLOOKUP($B:$B,Products!$A:$D,3,FALSE)</f>
        <v>Home Decor</v>
      </c>
      <c r="I745">
        <f>VLOOKUP($B:$B,Products!$A:$D,4,FALSE)</f>
        <v>2136</v>
      </c>
      <c r="J745" s="4">
        <f>VLOOKUP($A:$A,Sales!$B:$H,6,FALSE)</f>
        <v>45585</v>
      </c>
      <c r="K745" s="9">
        <f>VLOOKUP($A:$A,Sales!$B:$H,4,FALSE)</f>
        <v>5</v>
      </c>
      <c r="L745" s="5">
        <f t="shared" si="11"/>
        <v>10680</v>
      </c>
    </row>
    <row r="746" spans="1:12" x14ac:dyDescent="0.3">
      <c r="A746">
        <v>1254</v>
      </c>
      <c r="B746">
        <v>2018</v>
      </c>
      <c r="C746">
        <v>3033</v>
      </c>
      <c r="D746" t="str">
        <f>VLOOKUP('Sales table'!$A:$A,Customers!$A:$H,2,FALSE)</f>
        <v>Matthew Smith</v>
      </c>
      <c r="E746">
        <f>VLOOKUP('Sales table'!$A:$A,Customers!$A:$H,4,FALSE)</f>
        <v>49</v>
      </c>
      <c r="F746" t="str">
        <f>VLOOKUP('Sales table'!$A:$A,Customers!$A:$H,5,FALSE)</f>
        <v>Pune</v>
      </c>
      <c r="G746" t="str">
        <f>VLOOKUP($B:$B,Products!$A:$D,2,FALSE)</f>
        <v>Dry Fruits Pack</v>
      </c>
      <c r="H746" t="str">
        <f>VLOOKUP($B:$B,Products!$A:$D,3,FALSE)</f>
        <v>Sweets &amp; Gifts</v>
      </c>
      <c r="I746">
        <f>VLOOKUP($B:$B,Products!$A:$D,4,FALSE)</f>
        <v>7243</v>
      </c>
      <c r="J746" s="4">
        <f>VLOOKUP($A:$A,Sales!$B:$H,6,FALSE)</f>
        <v>45608</v>
      </c>
      <c r="K746" s="9">
        <f>VLOOKUP($A:$A,Sales!$B:$H,4,FALSE)</f>
        <v>5</v>
      </c>
      <c r="L746" s="5">
        <f t="shared" si="11"/>
        <v>36215</v>
      </c>
    </row>
    <row r="747" spans="1:12" x14ac:dyDescent="0.3">
      <c r="A747">
        <v>1078</v>
      </c>
      <c r="B747">
        <v>2023</v>
      </c>
      <c r="C747">
        <v>3003</v>
      </c>
      <c r="D747" t="str">
        <f>VLOOKUP('Sales table'!$A:$A,Customers!$A:$H,2,FALSE)</f>
        <v>Jerry Newman</v>
      </c>
      <c r="E747">
        <f>VLOOKUP('Sales table'!$A:$A,Customers!$A:$H,4,FALSE)</f>
        <v>19</v>
      </c>
      <c r="F747" t="str">
        <f>VLOOKUP('Sales table'!$A:$A,Customers!$A:$H,5,FALSE)</f>
        <v>Delhi</v>
      </c>
      <c r="G747" t="str">
        <f>VLOOKUP($B:$B,Products!$A:$D,2,FALSE)</f>
        <v>Kids Wear</v>
      </c>
      <c r="H747" t="str">
        <f>VLOOKUP($B:$B,Products!$A:$D,3,FALSE)</f>
        <v>Clothing</v>
      </c>
      <c r="I747">
        <f>VLOOKUP($B:$B,Products!$A:$D,4,FALSE)</f>
        <v>4794</v>
      </c>
      <c r="J747" s="4">
        <f>VLOOKUP($A:$A,Sales!$B:$H,6,FALSE)</f>
        <v>45610</v>
      </c>
      <c r="K747" s="9">
        <f>VLOOKUP($A:$A,Sales!$B:$H,4,FALSE)</f>
        <v>5</v>
      </c>
      <c r="L747" s="5">
        <f t="shared" si="11"/>
        <v>23970</v>
      </c>
    </row>
    <row r="748" spans="1:12" x14ac:dyDescent="0.3">
      <c r="A748">
        <v>1144</v>
      </c>
      <c r="B748">
        <v>2011</v>
      </c>
      <c r="C748">
        <v>3030</v>
      </c>
      <c r="D748" t="str">
        <f>VLOOKUP('Sales table'!$A:$A,Customers!$A:$H,2,FALSE)</f>
        <v>Amanda Henry</v>
      </c>
      <c r="E748">
        <f>VLOOKUP('Sales table'!$A:$A,Customers!$A:$H,4,FALSE)</f>
        <v>63</v>
      </c>
      <c r="F748" t="str">
        <f>VLOOKUP('Sales table'!$A:$A,Customers!$A:$H,5,FALSE)</f>
        <v>Hyderabad</v>
      </c>
      <c r="G748" t="str">
        <f>VLOOKUP($B:$B,Products!$A:$D,2,FALSE)</f>
        <v>Festive Thali</v>
      </c>
      <c r="H748" t="str">
        <f>VLOOKUP($B:$B,Products!$A:$D,3,FALSE)</f>
        <v>Other</v>
      </c>
      <c r="I748">
        <f>VLOOKUP($B:$B,Products!$A:$D,4,FALSE)</f>
        <v>7481</v>
      </c>
      <c r="J748" s="4">
        <f>VLOOKUP($A:$A,Sales!$B:$H,6,FALSE)</f>
        <v>45595</v>
      </c>
      <c r="K748" s="9">
        <f>VLOOKUP($A:$A,Sales!$B:$H,4,FALSE)</f>
        <v>5</v>
      </c>
      <c r="L748" s="5">
        <f t="shared" si="11"/>
        <v>37405</v>
      </c>
    </row>
    <row r="749" spans="1:12" x14ac:dyDescent="0.3">
      <c r="A749">
        <v>1057</v>
      </c>
      <c r="B749">
        <v>2017</v>
      </c>
      <c r="C749">
        <v>3028</v>
      </c>
      <c r="D749" t="str">
        <f>VLOOKUP('Sales table'!$A:$A,Customers!$A:$H,2,FALSE)</f>
        <v>John Lopez</v>
      </c>
      <c r="E749">
        <f>VLOOKUP('Sales table'!$A:$A,Customers!$A:$H,4,FALSE)</f>
        <v>51</v>
      </c>
      <c r="F749" t="str">
        <f>VLOOKUP('Sales table'!$A:$A,Customers!$A:$H,5,FALSE)</f>
        <v>Bangalore</v>
      </c>
      <c r="G749" t="str">
        <f>VLOOKUP($B:$B,Products!$A:$D,2,FALSE)</f>
        <v>Handmade Pottery</v>
      </c>
      <c r="H749" t="str">
        <f>VLOOKUP($B:$B,Products!$A:$D,3,FALSE)</f>
        <v>Home Decor</v>
      </c>
      <c r="I749">
        <f>VLOOKUP($B:$B,Products!$A:$D,4,FALSE)</f>
        <v>8186</v>
      </c>
      <c r="J749" s="4">
        <f>VLOOKUP($A:$A,Sales!$B:$H,6,FALSE)</f>
        <v>45591</v>
      </c>
      <c r="K749" s="9">
        <f>VLOOKUP($A:$A,Sales!$B:$H,4,FALSE)</f>
        <v>4</v>
      </c>
      <c r="L749" s="5">
        <f t="shared" si="11"/>
        <v>32744</v>
      </c>
    </row>
    <row r="750" spans="1:12" x14ac:dyDescent="0.3">
      <c r="A750">
        <v>1093</v>
      </c>
      <c r="B750">
        <v>2014</v>
      </c>
      <c r="C750">
        <v>3011</v>
      </c>
      <c r="D750" t="str">
        <f>VLOOKUP('Sales table'!$A:$A,Customers!$A:$H,2,FALSE)</f>
        <v>John Martin</v>
      </c>
      <c r="E750">
        <f>VLOOKUP('Sales table'!$A:$A,Customers!$A:$H,4,FALSE)</f>
        <v>35</v>
      </c>
      <c r="F750" t="str">
        <f>VLOOKUP('Sales table'!$A:$A,Customers!$A:$H,5,FALSE)</f>
        <v>Hyderabad</v>
      </c>
      <c r="G750" t="str">
        <f>VLOOKUP($B:$B,Products!$A:$D,2,FALSE)</f>
        <v>Gold Coin</v>
      </c>
      <c r="H750" t="str">
        <f>VLOOKUP($B:$B,Products!$A:$D,3,FALSE)</f>
        <v>Precious Items</v>
      </c>
      <c r="I750">
        <f>VLOOKUP($B:$B,Products!$A:$D,4,FALSE)</f>
        <v>13823</v>
      </c>
      <c r="J750" s="4">
        <f>VLOOKUP($A:$A,Sales!$B:$H,6,FALSE)</f>
        <v>45592</v>
      </c>
      <c r="K750" s="9">
        <f>VLOOKUP($A:$A,Sales!$B:$H,4,FALSE)</f>
        <v>4</v>
      </c>
      <c r="L750" s="5">
        <f t="shared" si="11"/>
        <v>55292</v>
      </c>
    </row>
    <row r="751" spans="1:12" x14ac:dyDescent="0.3">
      <c r="A751">
        <v>1213</v>
      </c>
      <c r="B751">
        <v>2006</v>
      </c>
      <c r="C751">
        <v>3007</v>
      </c>
      <c r="D751" t="str">
        <f>VLOOKUP('Sales table'!$A:$A,Customers!$A:$H,2,FALSE)</f>
        <v>Michael Compton</v>
      </c>
      <c r="E751">
        <f>VLOOKUP('Sales table'!$A:$A,Customers!$A:$H,4,FALSE)</f>
        <v>55</v>
      </c>
      <c r="F751" t="str">
        <f>VLOOKUP('Sales table'!$A:$A,Customers!$A:$H,5,FALSE)</f>
        <v>Mumbai</v>
      </c>
      <c r="G751" t="str">
        <f>VLOOKUP($B:$B,Products!$A:$D,2,FALSE)</f>
        <v>Crackers Pack</v>
      </c>
      <c r="H751" t="str">
        <f>VLOOKUP($B:$B,Products!$A:$D,3,FALSE)</f>
        <v>Crackers</v>
      </c>
      <c r="I751">
        <f>VLOOKUP($B:$B,Products!$A:$D,4,FALSE)</f>
        <v>12060</v>
      </c>
      <c r="J751" s="4">
        <f>VLOOKUP($A:$A,Sales!$B:$H,6,FALSE)</f>
        <v>45615</v>
      </c>
      <c r="K751" s="9">
        <f>VLOOKUP($A:$A,Sales!$B:$H,4,FALSE)</f>
        <v>1</v>
      </c>
      <c r="L751" s="5">
        <f t="shared" si="11"/>
        <v>12060</v>
      </c>
    </row>
    <row r="752" spans="1:12" x14ac:dyDescent="0.3">
      <c r="A752">
        <v>1293</v>
      </c>
      <c r="B752">
        <v>2014</v>
      </c>
      <c r="C752">
        <v>3027</v>
      </c>
      <c r="D752" t="str">
        <f>VLOOKUP('Sales table'!$A:$A,Customers!$A:$H,2,FALSE)</f>
        <v>Debbie Rocha</v>
      </c>
      <c r="E752">
        <f>VLOOKUP('Sales table'!$A:$A,Customers!$A:$H,4,FALSE)</f>
        <v>33</v>
      </c>
      <c r="F752" t="str">
        <f>VLOOKUP('Sales table'!$A:$A,Customers!$A:$H,5,FALSE)</f>
        <v>Hyderabad</v>
      </c>
      <c r="G752" t="str">
        <f>VLOOKUP($B:$B,Products!$A:$D,2,FALSE)</f>
        <v>Gold Coin</v>
      </c>
      <c r="H752" t="str">
        <f>VLOOKUP($B:$B,Products!$A:$D,3,FALSE)</f>
        <v>Precious Items</v>
      </c>
      <c r="I752">
        <f>VLOOKUP($B:$B,Products!$A:$D,4,FALSE)</f>
        <v>13823</v>
      </c>
      <c r="J752" s="4">
        <f>VLOOKUP($A:$A,Sales!$B:$H,6,FALSE)</f>
        <v>45580</v>
      </c>
      <c r="K752" s="9">
        <f>VLOOKUP($A:$A,Sales!$B:$H,4,FALSE)</f>
        <v>4</v>
      </c>
      <c r="L752" s="5">
        <f t="shared" si="11"/>
        <v>55292</v>
      </c>
    </row>
    <row r="753" spans="1:12" x14ac:dyDescent="0.3">
      <c r="A753">
        <v>1275</v>
      </c>
      <c r="B753">
        <v>2021</v>
      </c>
      <c r="C753">
        <v>3034</v>
      </c>
      <c r="D753" t="str">
        <f>VLOOKUP('Sales table'!$A:$A,Customers!$A:$H,2,FALSE)</f>
        <v>George Newton</v>
      </c>
      <c r="E753">
        <f>VLOOKUP('Sales table'!$A:$A,Customers!$A:$H,4,FALSE)</f>
        <v>43</v>
      </c>
      <c r="F753" t="str">
        <f>VLOOKUP('Sales table'!$A:$A,Customers!$A:$H,5,FALSE)</f>
        <v>Hyderabad</v>
      </c>
      <c r="G753" t="str">
        <f>VLOOKUP($B:$B,Products!$A:$D,2,FALSE)</f>
        <v>Smartwatch</v>
      </c>
      <c r="H753" t="str">
        <f>VLOOKUP($B:$B,Products!$A:$D,3,FALSE)</f>
        <v>Electronics</v>
      </c>
      <c r="I753">
        <f>VLOOKUP($B:$B,Products!$A:$D,4,FALSE)</f>
        <v>17586</v>
      </c>
      <c r="J753" s="4">
        <f>VLOOKUP($A:$A,Sales!$B:$H,6,FALSE)</f>
        <v>45587</v>
      </c>
      <c r="K753" s="9">
        <f>VLOOKUP($A:$A,Sales!$B:$H,4,FALSE)</f>
        <v>2</v>
      </c>
      <c r="L753" s="5">
        <f t="shared" si="11"/>
        <v>35172</v>
      </c>
    </row>
    <row r="754" spans="1:12" x14ac:dyDescent="0.3">
      <c r="A754">
        <v>1222</v>
      </c>
      <c r="B754">
        <v>2012</v>
      </c>
      <c r="C754">
        <v>3031</v>
      </c>
      <c r="D754" t="str">
        <f>VLOOKUP('Sales table'!$A:$A,Customers!$A:$H,2,FALSE)</f>
        <v>Frank Johnson</v>
      </c>
      <c r="E754">
        <f>VLOOKUP('Sales table'!$A:$A,Customers!$A:$H,4,FALSE)</f>
        <v>39</v>
      </c>
      <c r="F754" t="str">
        <f>VLOOKUP('Sales table'!$A:$A,Customers!$A:$H,5,FALSE)</f>
        <v>Mumbai</v>
      </c>
      <c r="G754" t="str">
        <f>VLOOKUP($B:$B,Products!$A:$D,2,FALSE)</f>
        <v>Wall Hanging</v>
      </c>
      <c r="H754" t="str">
        <f>VLOOKUP($B:$B,Products!$A:$D,3,FALSE)</f>
        <v>Home Decor</v>
      </c>
      <c r="I754">
        <f>VLOOKUP($B:$B,Products!$A:$D,4,FALSE)</f>
        <v>11867</v>
      </c>
      <c r="J754" s="4">
        <f>VLOOKUP($A:$A,Sales!$B:$H,6,FALSE)</f>
        <v>45615</v>
      </c>
      <c r="K754" s="9">
        <f>VLOOKUP($A:$A,Sales!$B:$H,4,FALSE)</f>
        <v>4</v>
      </c>
      <c r="L754" s="5">
        <f t="shared" si="11"/>
        <v>47468</v>
      </c>
    </row>
    <row r="755" spans="1:12" x14ac:dyDescent="0.3">
      <c r="A755">
        <v>1265</v>
      </c>
      <c r="B755">
        <v>2017</v>
      </c>
      <c r="C755">
        <v>3018</v>
      </c>
      <c r="D755" t="str">
        <f>VLOOKUP('Sales table'!$A:$A,Customers!$A:$H,2,FALSE)</f>
        <v>Cynthia Chen</v>
      </c>
      <c r="E755">
        <f>VLOOKUP('Sales table'!$A:$A,Customers!$A:$H,4,FALSE)</f>
        <v>30</v>
      </c>
      <c r="F755" t="str">
        <f>VLOOKUP('Sales table'!$A:$A,Customers!$A:$H,5,FALSE)</f>
        <v>Mumbai</v>
      </c>
      <c r="G755" t="str">
        <f>VLOOKUP($B:$B,Products!$A:$D,2,FALSE)</f>
        <v>Handmade Pottery</v>
      </c>
      <c r="H755" t="str">
        <f>VLOOKUP($B:$B,Products!$A:$D,3,FALSE)</f>
        <v>Home Decor</v>
      </c>
      <c r="I755">
        <f>VLOOKUP($B:$B,Products!$A:$D,4,FALSE)</f>
        <v>8186</v>
      </c>
      <c r="J755" s="4">
        <f>VLOOKUP($A:$A,Sales!$B:$H,6,FALSE)</f>
        <v>45602</v>
      </c>
      <c r="K755" s="9">
        <f>VLOOKUP($A:$A,Sales!$B:$H,4,FALSE)</f>
        <v>2</v>
      </c>
      <c r="L755" s="5">
        <f t="shared" si="11"/>
        <v>16372</v>
      </c>
    </row>
    <row r="756" spans="1:12" x14ac:dyDescent="0.3">
      <c r="A756">
        <v>1254</v>
      </c>
      <c r="B756">
        <v>2024</v>
      </c>
      <c r="C756">
        <v>3002</v>
      </c>
      <c r="D756" t="str">
        <f>VLOOKUP('Sales table'!$A:$A,Customers!$A:$H,2,FALSE)</f>
        <v>Matthew Smith</v>
      </c>
      <c r="E756">
        <f>VLOOKUP('Sales table'!$A:$A,Customers!$A:$H,4,FALSE)</f>
        <v>49</v>
      </c>
      <c r="F756" t="str">
        <f>VLOOKUP('Sales table'!$A:$A,Customers!$A:$H,5,FALSE)</f>
        <v>Pune</v>
      </c>
      <c r="G756" t="str">
        <f>VLOOKUP($B:$B,Products!$A:$D,2,FALSE)</f>
        <v>Perfume Gift Set</v>
      </c>
      <c r="H756" t="str">
        <f>VLOOKUP($B:$B,Products!$A:$D,3,FALSE)</f>
        <v>Accessories</v>
      </c>
      <c r="I756">
        <f>VLOOKUP($B:$B,Products!$A:$D,4,FALSE)</f>
        <v>16272</v>
      </c>
      <c r="J756" s="4">
        <f>VLOOKUP($A:$A,Sales!$B:$H,6,FALSE)</f>
        <v>45608</v>
      </c>
      <c r="K756" s="9">
        <f>VLOOKUP($A:$A,Sales!$B:$H,4,FALSE)</f>
        <v>5</v>
      </c>
      <c r="L756" s="5">
        <f t="shared" si="11"/>
        <v>81360</v>
      </c>
    </row>
    <row r="757" spans="1:12" x14ac:dyDescent="0.3">
      <c r="A757">
        <v>1081</v>
      </c>
      <c r="B757">
        <v>2001</v>
      </c>
      <c r="C757">
        <v>3010</v>
      </c>
      <c r="D757" t="str">
        <f>VLOOKUP('Sales table'!$A:$A,Customers!$A:$H,2,FALSE)</f>
        <v>Lori Cox</v>
      </c>
      <c r="E757">
        <f>VLOOKUP('Sales table'!$A:$A,Customers!$A:$H,4,FALSE)</f>
        <v>59</v>
      </c>
      <c r="F757" t="str">
        <f>VLOOKUP('Sales table'!$A:$A,Customers!$A:$H,5,FALSE)</f>
        <v>Mumbai</v>
      </c>
      <c r="G757" t="str">
        <f>VLOOKUP($B:$B,Products!$A:$D,2,FALSE)</f>
        <v>Sweets Box</v>
      </c>
      <c r="H757" t="str">
        <f>VLOOKUP($B:$B,Products!$A:$D,3,FALSE)</f>
        <v>Sweets &amp; Gifts</v>
      </c>
      <c r="I757">
        <f>VLOOKUP($B:$B,Products!$A:$D,4,FALSE)</f>
        <v>7228</v>
      </c>
      <c r="J757" s="4">
        <f>VLOOKUP($A:$A,Sales!$B:$H,6,FALSE)</f>
        <v>45598</v>
      </c>
      <c r="K757" s="9">
        <f>VLOOKUP($A:$A,Sales!$B:$H,4,FALSE)</f>
        <v>4</v>
      </c>
      <c r="L757" s="5">
        <f t="shared" si="11"/>
        <v>28912</v>
      </c>
    </row>
    <row r="758" spans="1:12" x14ac:dyDescent="0.3">
      <c r="A758">
        <v>1282</v>
      </c>
      <c r="B758">
        <v>2008</v>
      </c>
      <c r="C758">
        <v>3034</v>
      </c>
      <c r="D758" t="str">
        <f>VLOOKUP('Sales table'!$A:$A,Customers!$A:$H,2,FALSE)</f>
        <v>Brett Sanchez</v>
      </c>
      <c r="E758">
        <f>VLOOKUP('Sales table'!$A:$A,Customers!$A:$H,4,FALSE)</f>
        <v>50</v>
      </c>
      <c r="F758" t="str">
        <f>VLOOKUP('Sales table'!$A:$A,Customers!$A:$H,5,FALSE)</f>
        <v>Kolkata</v>
      </c>
      <c r="G758" t="str">
        <f>VLOOKUP($B:$B,Products!$A:$D,2,FALSE)</f>
        <v>Earthen Diyas</v>
      </c>
      <c r="H758" t="str">
        <f>VLOOKUP($B:$B,Products!$A:$D,3,FALSE)</f>
        <v>Home Decor</v>
      </c>
      <c r="I758">
        <f>VLOOKUP($B:$B,Products!$A:$D,4,FALSE)</f>
        <v>2136</v>
      </c>
      <c r="J758" s="4">
        <f>VLOOKUP($A:$A,Sales!$B:$H,6,FALSE)</f>
        <v>45585</v>
      </c>
      <c r="K758" s="9">
        <f>VLOOKUP($A:$A,Sales!$B:$H,4,FALSE)</f>
        <v>2</v>
      </c>
      <c r="L758" s="5">
        <f t="shared" si="11"/>
        <v>4272</v>
      </c>
    </row>
    <row r="759" spans="1:12" x14ac:dyDescent="0.3">
      <c r="A759">
        <v>1247</v>
      </c>
      <c r="B759">
        <v>2021</v>
      </c>
      <c r="C759">
        <v>3033</v>
      </c>
      <c r="D759" t="str">
        <f>VLOOKUP('Sales table'!$A:$A,Customers!$A:$H,2,FALSE)</f>
        <v>Tyler Melendez Dvm</v>
      </c>
      <c r="E759">
        <f>VLOOKUP('Sales table'!$A:$A,Customers!$A:$H,4,FALSE)</f>
        <v>61</v>
      </c>
      <c r="F759" t="str">
        <f>VLOOKUP('Sales table'!$A:$A,Customers!$A:$H,5,FALSE)</f>
        <v>Delhi</v>
      </c>
      <c r="G759" t="str">
        <f>VLOOKUP($B:$B,Products!$A:$D,2,FALSE)</f>
        <v>Smartwatch</v>
      </c>
      <c r="H759" t="str">
        <f>VLOOKUP($B:$B,Products!$A:$D,3,FALSE)</f>
        <v>Electronics</v>
      </c>
      <c r="I759">
        <f>VLOOKUP($B:$B,Products!$A:$D,4,FALSE)</f>
        <v>17586</v>
      </c>
      <c r="J759" s="4">
        <f>VLOOKUP($A:$A,Sales!$B:$H,6,FALSE)</f>
        <v>45604</v>
      </c>
      <c r="K759" s="9">
        <f>VLOOKUP($A:$A,Sales!$B:$H,4,FALSE)</f>
        <v>5</v>
      </c>
      <c r="L759" s="5">
        <f t="shared" si="11"/>
        <v>87930</v>
      </c>
    </row>
    <row r="760" spans="1:12" x14ac:dyDescent="0.3">
      <c r="A760">
        <v>1070</v>
      </c>
      <c r="B760">
        <v>2025</v>
      </c>
      <c r="C760">
        <v>3016</v>
      </c>
      <c r="D760" t="str">
        <f>VLOOKUP('Sales table'!$A:$A,Customers!$A:$H,2,FALSE)</f>
        <v>Pamela Anderson</v>
      </c>
      <c r="E760">
        <f>VLOOKUP('Sales table'!$A:$A,Customers!$A:$H,4,FALSE)</f>
        <v>35</v>
      </c>
      <c r="F760" t="str">
        <f>VLOOKUP('Sales table'!$A:$A,Customers!$A:$H,5,FALSE)</f>
        <v>Pune</v>
      </c>
      <c r="G760" t="str">
        <f>VLOOKUP($B:$B,Products!$A:$D,2,FALSE)</f>
        <v>Handbag</v>
      </c>
      <c r="H760" t="str">
        <f>VLOOKUP($B:$B,Products!$A:$D,3,FALSE)</f>
        <v>Accessories</v>
      </c>
      <c r="I760">
        <f>VLOOKUP($B:$B,Products!$A:$D,4,FALSE)</f>
        <v>17019</v>
      </c>
      <c r="J760" s="4">
        <f>VLOOKUP($A:$A,Sales!$B:$H,6,FALSE)</f>
        <v>45599</v>
      </c>
      <c r="K760" s="9">
        <f>VLOOKUP($A:$A,Sales!$B:$H,4,FALSE)</f>
        <v>1</v>
      </c>
      <c r="L760" s="5">
        <f t="shared" si="11"/>
        <v>17019</v>
      </c>
    </row>
    <row r="761" spans="1:12" x14ac:dyDescent="0.3">
      <c r="A761">
        <v>1175</v>
      </c>
      <c r="B761">
        <v>2021</v>
      </c>
      <c r="C761">
        <v>3014</v>
      </c>
      <c r="D761" t="str">
        <f>VLOOKUP('Sales table'!$A:$A,Customers!$A:$H,2,FALSE)</f>
        <v>Jeffrey Smith</v>
      </c>
      <c r="E761">
        <f>VLOOKUP('Sales table'!$A:$A,Customers!$A:$H,4,FALSE)</f>
        <v>51</v>
      </c>
      <c r="F761" t="str">
        <f>VLOOKUP('Sales table'!$A:$A,Customers!$A:$H,5,FALSE)</f>
        <v>Kolkata</v>
      </c>
      <c r="G761" t="str">
        <f>VLOOKUP($B:$B,Products!$A:$D,2,FALSE)</f>
        <v>Smartwatch</v>
      </c>
      <c r="H761" t="str">
        <f>VLOOKUP($B:$B,Products!$A:$D,3,FALSE)</f>
        <v>Electronics</v>
      </c>
      <c r="I761">
        <f>VLOOKUP($B:$B,Products!$A:$D,4,FALSE)</f>
        <v>17586</v>
      </c>
      <c r="J761" s="4">
        <f>VLOOKUP($A:$A,Sales!$B:$H,6,FALSE)</f>
        <v>45611</v>
      </c>
      <c r="K761" s="9">
        <f>VLOOKUP($A:$A,Sales!$B:$H,4,FALSE)</f>
        <v>4</v>
      </c>
      <c r="L761" s="5">
        <f t="shared" si="11"/>
        <v>70344</v>
      </c>
    </row>
    <row r="762" spans="1:12" x14ac:dyDescent="0.3">
      <c r="A762">
        <v>1219</v>
      </c>
      <c r="B762">
        <v>2005</v>
      </c>
      <c r="C762">
        <v>3021</v>
      </c>
      <c r="D762" t="str">
        <f>VLOOKUP('Sales table'!$A:$A,Customers!$A:$H,2,FALSE)</f>
        <v>Christopher Osborne</v>
      </c>
      <c r="E762">
        <f>VLOOKUP('Sales table'!$A:$A,Customers!$A:$H,4,FALSE)</f>
        <v>47</v>
      </c>
      <c r="F762" t="str">
        <f>VLOOKUP('Sales table'!$A:$A,Customers!$A:$H,5,FALSE)</f>
        <v>Hyderabad</v>
      </c>
      <c r="G762" t="str">
        <f>VLOOKUP($B:$B,Products!$A:$D,2,FALSE)</f>
        <v>LED Lamp</v>
      </c>
      <c r="H762" t="str">
        <f>VLOOKUP($B:$B,Products!$A:$D,3,FALSE)</f>
        <v>Home Decor</v>
      </c>
      <c r="I762">
        <f>VLOOKUP($B:$B,Products!$A:$D,4,FALSE)</f>
        <v>3828</v>
      </c>
      <c r="J762" s="4">
        <f>VLOOKUP($A:$A,Sales!$B:$H,6,FALSE)</f>
        <v>45592</v>
      </c>
      <c r="K762" s="9">
        <f>VLOOKUP($A:$A,Sales!$B:$H,4,FALSE)</f>
        <v>4</v>
      </c>
      <c r="L762" s="5">
        <f t="shared" si="11"/>
        <v>15312</v>
      </c>
    </row>
    <row r="763" spans="1:12" x14ac:dyDescent="0.3">
      <c r="A763">
        <v>1283</v>
      </c>
      <c r="B763">
        <v>2007</v>
      </c>
      <c r="C763">
        <v>3014</v>
      </c>
      <c r="D763" t="str">
        <f>VLOOKUP('Sales table'!$A:$A,Customers!$A:$H,2,FALSE)</f>
        <v>Gregory Richardson</v>
      </c>
      <c r="E763">
        <f>VLOOKUP('Sales table'!$A:$A,Customers!$A:$H,4,FALSE)</f>
        <v>62</v>
      </c>
      <c r="F763" t="str">
        <f>VLOOKUP('Sales table'!$A:$A,Customers!$A:$H,5,FALSE)</f>
        <v>Chennai</v>
      </c>
      <c r="G763" t="str">
        <f>VLOOKUP($B:$B,Products!$A:$D,2,FALSE)</f>
        <v>Gift Hamper</v>
      </c>
      <c r="H763" t="str">
        <f>VLOOKUP($B:$B,Products!$A:$D,3,FALSE)</f>
        <v>Sweets &amp; Gifts</v>
      </c>
      <c r="I763">
        <f>VLOOKUP($B:$B,Products!$A:$D,4,FALSE)</f>
        <v>3412</v>
      </c>
      <c r="J763" s="4">
        <f>VLOOKUP($A:$A,Sales!$B:$H,6,FALSE)</f>
        <v>45594</v>
      </c>
      <c r="K763" s="9">
        <f>VLOOKUP($A:$A,Sales!$B:$H,4,FALSE)</f>
        <v>5</v>
      </c>
      <c r="L763" s="5">
        <f t="shared" si="11"/>
        <v>17060</v>
      </c>
    </row>
    <row r="764" spans="1:12" x14ac:dyDescent="0.3">
      <c r="A764">
        <v>1018</v>
      </c>
      <c r="B764">
        <v>2002</v>
      </c>
      <c r="C764">
        <v>3007</v>
      </c>
      <c r="D764" t="str">
        <f>VLOOKUP('Sales table'!$A:$A,Customers!$A:$H,2,FALSE)</f>
        <v>Mariah Kim</v>
      </c>
      <c r="E764">
        <f>VLOOKUP('Sales table'!$A:$A,Customers!$A:$H,4,FALSE)</f>
        <v>34</v>
      </c>
      <c r="F764" t="str">
        <f>VLOOKUP('Sales table'!$A:$A,Customers!$A:$H,5,FALSE)</f>
        <v>Mumbai</v>
      </c>
      <c r="G764" t="str">
        <f>VLOOKUP($B:$B,Products!$A:$D,2,FALSE)</f>
        <v>Saree</v>
      </c>
      <c r="H764" t="str">
        <f>VLOOKUP($B:$B,Products!$A:$D,3,FALSE)</f>
        <v>Clothing</v>
      </c>
      <c r="I764">
        <f>VLOOKUP($B:$B,Products!$A:$D,4,FALSE)</f>
        <v>9534</v>
      </c>
      <c r="J764" s="4">
        <f>VLOOKUP($A:$A,Sales!$B:$H,6,FALSE)</f>
        <v>45610</v>
      </c>
      <c r="K764" s="9">
        <f>VLOOKUP($A:$A,Sales!$B:$H,4,FALSE)</f>
        <v>1</v>
      </c>
      <c r="L764" s="5">
        <f t="shared" si="11"/>
        <v>9534</v>
      </c>
    </row>
    <row r="765" spans="1:12" x14ac:dyDescent="0.3">
      <c r="A765">
        <v>1183</v>
      </c>
      <c r="B765">
        <v>2020</v>
      </c>
      <c r="C765">
        <v>3026</v>
      </c>
      <c r="D765" t="str">
        <f>VLOOKUP('Sales table'!$A:$A,Customers!$A:$H,2,FALSE)</f>
        <v>Walter Griffin</v>
      </c>
      <c r="E765">
        <f>VLOOKUP('Sales table'!$A:$A,Customers!$A:$H,4,FALSE)</f>
        <v>20</v>
      </c>
      <c r="F765" t="str">
        <f>VLOOKUP('Sales table'!$A:$A,Customers!$A:$H,5,FALSE)</f>
        <v>Chennai</v>
      </c>
      <c r="G765" t="str">
        <f>VLOOKUP($B:$B,Products!$A:$D,2,FALSE)</f>
        <v>Ethnic Jewelry</v>
      </c>
      <c r="H765" t="str">
        <f>VLOOKUP($B:$B,Products!$A:$D,3,FALSE)</f>
        <v>Precious Items</v>
      </c>
      <c r="I765">
        <f>VLOOKUP($B:$B,Products!$A:$D,4,FALSE)</f>
        <v>4495</v>
      </c>
      <c r="J765" s="4">
        <f>VLOOKUP($A:$A,Sales!$B:$H,6,FALSE)</f>
        <v>45600</v>
      </c>
      <c r="K765" s="9">
        <f>VLOOKUP($A:$A,Sales!$B:$H,4,FALSE)</f>
        <v>5</v>
      </c>
      <c r="L765" s="5">
        <f t="shared" si="11"/>
        <v>22475</v>
      </c>
    </row>
    <row r="766" spans="1:12" x14ac:dyDescent="0.3">
      <c r="A766">
        <v>1161</v>
      </c>
      <c r="B766">
        <v>2004</v>
      </c>
      <c r="C766">
        <v>3011</v>
      </c>
      <c r="D766" t="str">
        <f>VLOOKUP('Sales table'!$A:$A,Customers!$A:$H,2,FALSE)</f>
        <v>Christian Aguilar</v>
      </c>
      <c r="E766">
        <f>VLOOKUP('Sales table'!$A:$A,Customers!$A:$H,4,FALSE)</f>
        <v>32</v>
      </c>
      <c r="F766" t="str">
        <f>VLOOKUP('Sales table'!$A:$A,Customers!$A:$H,5,FALSE)</f>
        <v>Delhi</v>
      </c>
      <c r="G766" t="str">
        <f>VLOOKUP($B:$B,Products!$A:$D,2,FALSE)</f>
        <v>Smartphone</v>
      </c>
      <c r="H766" t="str">
        <f>VLOOKUP($B:$B,Products!$A:$D,3,FALSE)</f>
        <v>Electronics</v>
      </c>
      <c r="I766">
        <f>VLOOKUP($B:$B,Products!$A:$D,4,FALSE)</f>
        <v>4952</v>
      </c>
      <c r="J766" s="4">
        <f>VLOOKUP($A:$A,Sales!$B:$H,6,FALSE)</f>
        <v>45587</v>
      </c>
      <c r="K766" s="9">
        <f>VLOOKUP($A:$A,Sales!$B:$H,4,FALSE)</f>
        <v>4</v>
      </c>
      <c r="L766" s="5">
        <f t="shared" si="11"/>
        <v>19808</v>
      </c>
    </row>
    <row r="767" spans="1:12" x14ac:dyDescent="0.3">
      <c r="A767">
        <v>1295</v>
      </c>
      <c r="B767">
        <v>2018</v>
      </c>
      <c r="C767">
        <v>3022</v>
      </c>
      <c r="D767" t="str">
        <f>VLOOKUP('Sales table'!$A:$A,Customers!$A:$H,2,FALSE)</f>
        <v>Alicia Wallace</v>
      </c>
      <c r="E767">
        <f>VLOOKUP('Sales table'!$A:$A,Customers!$A:$H,4,FALSE)</f>
        <v>34</v>
      </c>
      <c r="F767" t="str">
        <f>VLOOKUP('Sales table'!$A:$A,Customers!$A:$H,5,FALSE)</f>
        <v>Mumbai</v>
      </c>
      <c r="G767" t="str">
        <f>VLOOKUP($B:$B,Products!$A:$D,2,FALSE)</f>
        <v>Dry Fruits Pack</v>
      </c>
      <c r="H767" t="str">
        <f>VLOOKUP($B:$B,Products!$A:$D,3,FALSE)</f>
        <v>Sweets &amp; Gifts</v>
      </c>
      <c r="I767">
        <f>VLOOKUP($B:$B,Products!$A:$D,4,FALSE)</f>
        <v>7243</v>
      </c>
      <c r="J767" s="4">
        <f>VLOOKUP($A:$A,Sales!$B:$H,6,FALSE)</f>
        <v>45576</v>
      </c>
      <c r="K767" s="9">
        <f>VLOOKUP($A:$A,Sales!$B:$H,4,FALSE)</f>
        <v>2</v>
      </c>
      <c r="L767" s="5">
        <f t="shared" si="11"/>
        <v>14486</v>
      </c>
    </row>
    <row r="768" spans="1:12" x14ac:dyDescent="0.3">
      <c r="A768">
        <v>1115</v>
      </c>
      <c r="B768">
        <v>2010</v>
      </c>
      <c r="C768">
        <v>3029</v>
      </c>
      <c r="D768" t="str">
        <f>VLOOKUP('Sales table'!$A:$A,Customers!$A:$H,2,FALSE)</f>
        <v>Valerie Winters</v>
      </c>
      <c r="E768">
        <f>VLOOKUP('Sales table'!$A:$A,Customers!$A:$H,4,FALSE)</f>
        <v>61</v>
      </c>
      <c r="F768" t="str">
        <f>VLOOKUP('Sales table'!$A:$A,Customers!$A:$H,5,FALSE)</f>
        <v>Delhi</v>
      </c>
      <c r="G768" t="str">
        <f>VLOOKUP($B:$B,Products!$A:$D,2,FALSE)</f>
        <v>Chocolate Box</v>
      </c>
      <c r="H768" t="str">
        <f>VLOOKUP($B:$B,Products!$A:$D,3,FALSE)</f>
        <v>Sweets &amp; Gifts</v>
      </c>
      <c r="I768">
        <f>VLOOKUP($B:$B,Products!$A:$D,4,FALSE)</f>
        <v>17909</v>
      </c>
      <c r="J768" s="4">
        <f>VLOOKUP($A:$A,Sales!$B:$H,6,FALSE)</f>
        <v>45593</v>
      </c>
      <c r="K768" s="9">
        <f>VLOOKUP($A:$A,Sales!$B:$H,4,FALSE)</f>
        <v>4</v>
      </c>
      <c r="L768" s="5">
        <f t="shared" si="11"/>
        <v>71636</v>
      </c>
    </row>
    <row r="769" spans="1:12" x14ac:dyDescent="0.3">
      <c r="A769">
        <v>1103</v>
      </c>
      <c r="B769">
        <v>2011</v>
      </c>
      <c r="C769">
        <v>3024</v>
      </c>
      <c r="D769" t="str">
        <f>VLOOKUP('Sales table'!$A:$A,Customers!$A:$H,2,FALSE)</f>
        <v>Glenn Cook</v>
      </c>
      <c r="E769">
        <f>VLOOKUP('Sales table'!$A:$A,Customers!$A:$H,4,FALSE)</f>
        <v>58</v>
      </c>
      <c r="F769" t="str">
        <f>VLOOKUP('Sales table'!$A:$A,Customers!$A:$H,5,FALSE)</f>
        <v>Kolkata</v>
      </c>
      <c r="G769" t="str">
        <f>VLOOKUP($B:$B,Products!$A:$D,2,FALSE)</f>
        <v>Festive Thali</v>
      </c>
      <c r="H769" t="str">
        <f>VLOOKUP($B:$B,Products!$A:$D,3,FALSE)</f>
        <v>Other</v>
      </c>
      <c r="I769">
        <f>VLOOKUP($B:$B,Products!$A:$D,4,FALSE)</f>
        <v>7481</v>
      </c>
      <c r="J769" s="4">
        <f>VLOOKUP($A:$A,Sales!$B:$H,6,FALSE)</f>
        <v>45597</v>
      </c>
      <c r="K769" s="9">
        <f>VLOOKUP($A:$A,Sales!$B:$H,4,FALSE)</f>
        <v>2</v>
      </c>
      <c r="L769" s="5">
        <f t="shared" si="11"/>
        <v>14962</v>
      </c>
    </row>
    <row r="770" spans="1:12" x14ac:dyDescent="0.3">
      <c r="A770">
        <v>1085</v>
      </c>
      <c r="B770">
        <v>2012</v>
      </c>
      <c r="C770">
        <v>3009</v>
      </c>
      <c r="D770" t="str">
        <f>VLOOKUP('Sales table'!$A:$A,Customers!$A:$H,2,FALSE)</f>
        <v>Amanda Nichols</v>
      </c>
      <c r="E770">
        <f>VLOOKUP('Sales table'!$A:$A,Customers!$A:$H,4,FALSE)</f>
        <v>36</v>
      </c>
      <c r="F770" t="str">
        <f>VLOOKUP('Sales table'!$A:$A,Customers!$A:$H,5,FALSE)</f>
        <v>Delhi</v>
      </c>
      <c r="G770" t="str">
        <f>VLOOKUP($B:$B,Products!$A:$D,2,FALSE)</f>
        <v>Wall Hanging</v>
      </c>
      <c r="H770" t="str">
        <f>VLOOKUP($B:$B,Products!$A:$D,3,FALSE)</f>
        <v>Home Decor</v>
      </c>
      <c r="I770">
        <f>VLOOKUP($B:$B,Products!$A:$D,4,FALSE)</f>
        <v>11867</v>
      </c>
      <c r="J770" s="4">
        <f>VLOOKUP($A:$A,Sales!$B:$H,6,FALSE)</f>
        <v>45595</v>
      </c>
      <c r="K770" s="9">
        <f>VLOOKUP($A:$A,Sales!$B:$H,4,FALSE)</f>
        <v>2</v>
      </c>
      <c r="L770" s="5">
        <f t="shared" si="11"/>
        <v>23734</v>
      </c>
    </row>
    <row r="771" spans="1:12" x14ac:dyDescent="0.3">
      <c r="A771">
        <v>1216</v>
      </c>
      <c r="B771">
        <v>2020</v>
      </c>
      <c r="C771">
        <v>3011</v>
      </c>
      <c r="D771" t="str">
        <f>VLOOKUP('Sales table'!$A:$A,Customers!$A:$H,2,FALSE)</f>
        <v>Michelle Greer</v>
      </c>
      <c r="E771">
        <f>VLOOKUP('Sales table'!$A:$A,Customers!$A:$H,4,FALSE)</f>
        <v>41</v>
      </c>
      <c r="F771" t="str">
        <f>VLOOKUP('Sales table'!$A:$A,Customers!$A:$H,5,FALSE)</f>
        <v>Kolkata</v>
      </c>
      <c r="G771" t="str">
        <f>VLOOKUP($B:$B,Products!$A:$D,2,FALSE)</f>
        <v>Ethnic Jewelry</v>
      </c>
      <c r="H771" t="str">
        <f>VLOOKUP($B:$B,Products!$A:$D,3,FALSE)</f>
        <v>Precious Items</v>
      </c>
      <c r="I771">
        <f>VLOOKUP($B:$B,Products!$A:$D,4,FALSE)</f>
        <v>4495</v>
      </c>
      <c r="J771" s="4">
        <f>VLOOKUP($A:$A,Sales!$B:$H,6,FALSE)</f>
        <v>45576</v>
      </c>
      <c r="K771" s="9">
        <f>VLOOKUP($A:$A,Sales!$B:$H,4,FALSE)</f>
        <v>3</v>
      </c>
      <c r="L771" s="5">
        <f t="shared" ref="L771:L834" si="12">I771*K771</f>
        <v>13485</v>
      </c>
    </row>
    <row r="772" spans="1:12" x14ac:dyDescent="0.3">
      <c r="A772">
        <v>1165</v>
      </c>
      <c r="B772">
        <v>2012</v>
      </c>
      <c r="C772">
        <v>3003</v>
      </c>
      <c r="D772" t="str">
        <f>VLOOKUP('Sales table'!$A:$A,Customers!$A:$H,2,FALSE)</f>
        <v>Amanda Carter</v>
      </c>
      <c r="E772">
        <f>VLOOKUP('Sales table'!$A:$A,Customers!$A:$H,4,FALSE)</f>
        <v>38</v>
      </c>
      <c r="F772" t="str">
        <f>VLOOKUP('Sales table'!$A:$A,Customers!$A:$H,5,FALSE)</f>
        <v>Kolkata</v>
      </c>
      <c r="G772" t="str">
        <f>VLOOKUP($B:$B,Products!$A:$D,2,FALSE)</f>
        <v>Wall Hanging</v>
      </c>
      <c r="H772" t="str">
        <f>VLOOKUP($B:$B,Products!$A:$D,3,FALSE)</f>
        <v>Home Decor</v>
      </c>
      <c r="I772">
        <f>VLOOKUP($B:$B,Products!$A:$D,4,FALSE)</f>
        <v>11867</v>
      </c>
      <c r="J772" s="4">
        <f>VLOOKUP($A:$A,Sales!$B:$H,6,FALSE)</f>
        <v>45612</v>
      </c>
      <c r="K772" s="9">
        <f>VLOOKUP($A:$A,Sales!$B:$H,4,FALSE)</f>
        <v>4</v>
      </c>
      <c r="L772" s="5">
        <f t="shared" si="12"/>
        <v>47468</v>
      </c>
    </row>
    <row r="773" spans="1:12" x14ac:dyDescent="0.3">
      <c r="A773">
        <v>1150</v>
      </c>
      <c r="B773">
        <v>2011</v>
      </c>
      <c r="C773">
        <v>3012</v>
      </c>
      <c r="D773" t="str">
        <f>VLOOKUP('Sales table'!$A:$A,Customers!$A:$H,2,FALSE)</f>
        <v>Angelica Davis</v>
      </c>
      <c r="E773">
        <f>VLOOKUP('Sales table'!$A:$A,Customers!$A:$H,4,FALSE)</f>
        <v>18</v>
      </c>
      <c r="F773" t="str">
        <f>VLOOKUP('Sales table'!$A:$A,Customers!$A:$H,5,FALSE)</f>
        <v>Bangalore</v>
      </c>
      <c r="G773" t="str">
        <f>VLOOKUP($B:$B,Products!$A:$D,2,FALSE)</f>
        <v>Festive Thali</v>
      </c>
      <c r="H773" t="str">
        <f>VLOOKUP($B:$B,Products!$A:$D,3,FALSE)</f>
        <v>Other</v>
      </c>
      <c r="I773">
        <f>VLOOKUP($B:$B,Products!$A:$D,4,FALSE)</f>
        <v>7481</v>
      </c>
      <c r="J773" s="4">
        <f>VLOOKUP($A:$A,Sales!$B:$H,6,FALSE)</f>
        <v>45601</v>
      </c>
      <c r="K773" s="9">
        <f>VLOOKUP($A:$A,Sales!$B:$H,4,FALSE)</f>
        <v>3</v>
      </c>
      <c r="L773" s="5">
        <f t="shared" si="12"/>
        <v>22443</v>
      </c>
    </row>
    <row r="774" spans="1:12" x14ac:dyDescent="0.3">
      <c r="A774">
        <v>1142</v>
      </c>
      <c r="B774">
        <v>2004</v>
      </c>
      <c r="C774">
        <v>3007</v>
      </c>
      <c r="D774" t="str">
        <f>VLOOKUP('Sales table'!$A:$A,Customers!$A:$H,2,FALSE)</f>
        <v>Derek Coffey</v>
      </c>
      <c r="E774">
        <f>VLOOKUP('Sales table'!$A:$A,Customers!$A:$H,4,FALSE)</f>
        <v>21</v>
      </c>
      <c r="F774" t="str">
        <f>VLOOKUP('Sales table'!$A:$A,Customers!$A:$H,5,FALSE)</f>
        <v>Chennai</v>
      </c>
      <c r="G774" t="str">
        <f>VLOOKUP($B:$B,Products!$A:$D,2,FALSE)</f>
        <v>Smartphone</v>
      </c>
      <c r="H774" t="str">
        <f>VLOOKUP($B:$B,Products!$A:$D,3,FALSE)</f>
        <v>Electronics</v>
      </c>
      <c r="I774">
        <f>VLOOKUP($B:$B,Products!$A:$D,4,FALSE)</f>
        <v>4952</v>
      </c>
      <c r="J774" s="4">
        <f>VLOOKUP($A:$A,Sales!$B:$H,6,FALSE)</f>
        <v>45585</v>
      </c>
      <c r="K774" s="9">
        <f>VLOOKUP($A:$A,Sales!$B:$H,4,FALSE)</f>
        <v>5</v>
      </c>
      <c r="L774" s="5">
        <f t="shared" si="12"/>
        <v>24760</v>
      </c>
    </row>
    <row r="775" spans="1:12" x14ac:dyDescent="0.3">
      <c r="A775">
        <v>1233</v>
      </c>
      <c r="B775">
        <v>2006</v>
      </c>
      <c r="C775">
        <v>3021</v>
      </c>
      <c r="D775" t="str">
        <f>VLOOKUP('Sales table'!$A:$A,Customers!$A:$H,2,FALSE)</f>
        <v>Matthew Jennings</v>
      </c>
      <c r="E775">
        <f>VLOOKUP('Sales table'!$A:$A,Customers!$A:$H,4,FALSE)</f>
        <v>65</v>
      </c>
      <c r="F775" t="str">
        <f>VLOOKUP('Sales table'!$A:$A,Customers!$A:$H,5,FALSE)</f>
        <v>Bangalore</v>
      </c>
      <c r="G775" t="str">
        <f>VLOOKUP($B:$B,Products!$A:$D,2,FALSE)</f>
        <v>Crackers Pack</v>
      </c>
      <c r="H775" t="str">
        <f>VLOOKUP($B:$B,Products!$A:$D,3,FALSE)</f>
        <v>Crackers</v>
      </c>
      <c r="I775">
        <f>VLOOKUP($B:$B,Products!$A:$D,4,FALSE)</f>
        <v>12060</v>
      </c>
      <c r="J775" s="4">
        <f>VLOOKUP($A:$A,Sales!$B:$H,6,FALSE)</f>
        <v>45593</v>
      </c>
      <c r="K775" s="9">
        <f>VLOOKUP($A:$A,Sales!$B:$H,4,FALSE)</f>
        <v>3</v>
      </c>
      <c r="L775" s="5">
        <f t="shared" si="12"/>
        <v>36180</v>
      </c>
    </row>
    <row r="776" spans="1:12" x14ac:dyDescent="0.3">
      <c r="A776">
        <v>1147</v>
      </c>
      <c r="B776">
        <v>2014</v>
      </c>
      <c r="C776">
        <v>3004</v>
      </c>
      <c r="D776" t="str">
        <f>VLOOKUP('Sales table'!$A:$A,Customers!$A:$H,2,FALSE)</f>
        <v>Edward Greene</v>
      </c>
      <c r="E776">
        <f>VLOOKUP('Sales table'!$A:$A,Customers!$A:$H,4,FALSE)</f>
        <v>58</v>
      </c>
      <c r="F776" t="str">
        <f>VLOOKUP('Sales table'!$A:$A,Customers!$A:$H,5,FALSE)</f>
        <v>Hyderabad</v>
      </c>
      <c r="G776" t="str">
        <f>VLOOKUP($B:$B,Products!$A:$D,2,FALSE)</f>
        <v>Gold Coin</v>
      </c>
      <c r="H776" t="str">
        <f>VLOOKUP($B:$B,Products!$A:$D,3,FALSE)</f>
        <v>Precious Items</v>
      </c>
      <c r="I776">
        <f>VLOOKUP($B:$B,Products!$A:$D,4,FALSE)</f>
        <v>13823</v>
      </c>
      <c r="J776" s="4">
        <f>VLOOKUP($A:$A,Sales!$B:$H,6,FALSE)</f>
        <v>45603</v>
      </c>
      <c r="K776" s="9">
        <f>VLOOKUP($A:$A,Sales!$B:$H,4,FALSE)</f>
        <v>1</v>
      </c>
      <c r="L776" s="5">
        <f t="shared" si="12"/>
        <v>13823</v>
      </c>
    </row>
    <row r="777" spans="1:12" x14ac:dyDescent="0.3">
      <c r="A777">
        <v>1182</v>
      </c>
      <c r="B777">
        <v>2006</v>
      </c>
      <c r="C777">
        <v>3003</v>
      </c>
      <c r="D777" t="str">
        <f>VLOOKUP('Sales table'!$A:$A,Customers!$A:$H,2,FALSE)</f>
        <v>Benjamin Sanchez</v>
      </c>
      <c r="E777">
        <f>VLOOKUP('Sales table'!$A:$A,Customers!$A:$H,4,FALSE)</f>
        <v>47</v>
      </c>
      <c r="F777" t="str">
        <f>VLOOKUP('Sales table'!$A:$A,Customers!$A:$H,5,FALSE)</f>
        <v>Bangalore</v>
      </c>
      <c r="G777" t="str">
        <f>VLOOKUP($B:$B,Products!$A:$D,2,FALSE)</f>
        <v>Crackers Pack</v>
      </c>
      <c r="H777" t="str">
        <f>VLOOKUP($B:$B,Products!$A:$D,3,FALSE)</f>
        <v>Crackers</v>
      </c>
      <c r="I777">
        <f>VLOOKUP($B:$B,Products!$A:$D,4,FALSE)</f>
        <v>12060</v>
      </c>
      <c r="J777" s="4">
        <f>VLOOKUP($A:$A,Sales!$B:$H,6,FALSE)</f>
        <v>45604</v>
      </c>
      <c r="K777" s="9">
        <f>VLOOKUP($A:$A,Sales!$B:$H,4,FALSE)</f>
        <v>2</v>
      </c>
      <c r="L777" s="5">
        <f t="shared" si="12"/>
        <v>24120</v>
      </c>
    </row>
    <row r="778" spans="1:12" x14ac:dyDescent="0.3">
      <c r="A778">
        <v>1050</v>
      </c>
      <c r="B778">
        <v>2014</v>
      </c>
      <c r="C778">
        <v>3027</v>
      </c>
      <c r="D778" t="str">
        <f>VLOOKUP('Sales table'!$A:$A,Customers!$A:$H,2,FALSE)</f>
        <v>Ronald Gonzalez</v>
      </c>
      <c r="E778">
        <f>VLOOKUP('Sales table'!$A:$A,Customers!$A:$H,4,FALSE)</f>
        <v>46</v>
      </c>
      <c r="F778" t="str">
        <f>VLOOKUP('Sales table'!$A:$A,Customers!$A:$H,5,FALSE)</f>
        <v>Chennai</v>
      </c>
      <c r="G778" t="str">
        <f>VLOOKUP($B:$B,Products!$A:$D,2,FALSE)</f>
        <v>Gold Coin</v>
      </c>
      <c r="H778" t="str">
        <f>VLOOKUP($B:$B,Products!$A:$D,3,FALSE)</f>
        <v>Precious Items</v>
      </c>
      <c r="I778">
        <f>VLOOKUP($B:$B,Products!$A:$D,4,FALSE)</f>
        <v>13823</v>
      </c>
      <c r="J778" s="4">
        <f>VLOOKUP($A:$A,Sales!$B:$H,6,FALSE)</f>
        <v>45589</v>
      </c>
      <c r="K778" s="9">
        <f>VLOOKUP($A:$A,Sales!$B:$H,4,FALSE)</f>
        <v>4</v>
      </c>
      <c r="L778" s="5">
        <f t="shared" si="12"/>
        <v>55292</v>
      </c>
    </row>
    <row r="779" spans="1:12" x14ac:dyDescent="0.3">
      <c r="A779">
        <v>1248</v>
      </c>
      <c r="B779">
        <v>2007</v>
      </c>
      <c r="C779">
        <v>3012</v>
      </c>
      <c r="D779" t="str">
        <f>VLOOKUP('Sales table'!$A:$A,Customers!$A:$H,2,FALSE)</f>
        <v>Karen Anderson</v>
      </c>
      <c r="E779">
        <f>VLOOKUP('Sales table'!$A:$A,Customers!$A:$H,4,FALSE)</f>
        <v>18</v>
      </c>
      <c r="F779" t="str">
        <f>VLOOKUP('Sales table'!$A:$A,Customers!$A:$H,5,FALSE)</f>
        <v>Mumbai</v>
      </c>
      <c r="G779" t="str">
        <f>VLOOKUP($B:$B,Products!$A:$D,2,FALSE)</f>
        <v>Gift Hamper</v>
      </c>
      <c r="H779" t="str">
        <f>VLOOKUP($B:$B,Products!$A:$D,3,FALSE)</f>
        <v>Sweets &amp; Gifts</v>
      </c>
      <c r="I779">
        <f>VLOOKUP($B:$B,Products!$A:$D,4,FALSE)</f>
        <v>3412</v>
      </c>
      <c r="J779" s="4">
        <f>VLOOKUP($A:$A,Sales!$B:$H,6,FALSE)</f>
        <v>45601</v>
      </c>
      <c r="K779" s="9">
        <f>VLOOKUP($A:$A,Sales!$B:$H,4,FALSE)</f>
        <v>5</v>
      </c>
      <c r="L779" s="5">
        <f t="shared" si="12"/>
        <v>17060</v>
      </c>
    </row>
    <row r="780" spans="1:12" x14ac:dyDescent="0.3">
      <c r="A780">
        <v>1195</v>
      </c>
      <c r="B780">
        <v>2022</v>
      </c>
      <c r="C780">
        <v>3023</v>
      </c>
      <c r="D780" t="str">
        <f>VLOOKUP('Sales table'!$A:$A,Customers!$A:$H,2,FALSE)</f>
        <v>Brianna Robertson</v>
      </c>
      <c r="E780">
        <f>VLOOKUP('Sales table'!$A:$A,Customers!$A:$H,4,FALSE)</f>
        <v>50</v>
      </c>
      <c r="F780" t="str">
        <f>VLOOKUP('Sales table'!$A:$A,Customers!$A:$H,5,FALSE)</f>
        <v>Kolkata</v>
      </c>
      <c r="G780" t="str">
        <f>VLOOKUP($B:$B,Products!$A:$D,2,FALSE)</f>
        <v>Home Decor Statue</v>
      </c>
      <c r="H780" t="str">
        <f>VLOOKUP($B:$B,Products!$A:$D,3,FALSE)</f>
        <v>Home Decor</v>
      </c>
      <c r="I780">
        <f>VLOOKUP($B:$B,Products!$A:$D,4,FALSE)</f>
        <v>17149</v>
      </c>
      <c r="J780" s="4">
        <f>VLOOKUP($A:$A,Sales!$B:$H,6,FALSE)</f>
        <v>45580</v>
      </c>
      <c r="K780" s="9">
        <f>VLOOKUP($A:$A,Sales!$B:$H,4,FALSE)</f>
        <v>4</v>
      </c>
      <c r="L780" s="5">
        <f t="shared" si="12"/>
        <v>68596</v>
      </c>
    </row>
    <row r="781" spans="1:12" x14ac:dyDescent="0.3">
      <c r="A781">
        <v>1002</v>
      </c>
      <c r="B781">
        <v>2009</v>
      </c>
      <c r="C781">
        <v>3025</v>
      </c>
      <c r="D781" t="str">
        <f>VLOOKUP('Sales table'!$A:$A,Customers!$A:$H,2,FALSE)</f>
        <v>Scott Chen</v>
      </c>
      <c r="E781">
        <f>VLOOKUP('Sales table'!$A:$A,Customers!$A:$H,4,FALSE)</f>
        <v>21</v>
      </c>
      <c r="F781" t="str">
        <f>VLOOKUP('Sales table'!$A:$A,Customers!$A:$H,5,FALSE)</f>
        <v>Mumbai</v>
      </c>
      <c r="G781" t="str">
        <f>VLOOKUP($B:$B,Products!$A:$D,2,FALSE)</f>
        <v>Bluetooth Speaker</v>
      </c>
      <c r="H781" t="str">
        <f>VLOOKUP($B:$B,Products!$A:$D,3,FALSE)</f>
        <v>Electronics</v>
      </c>
      <c r="I781">
        <f>VLOOKUP($B:$B,Products!$A:$D,4,FALSE)</f>
        <v>11047</v>
      </c>
      <c r="J781" s="4">
        <f>VLOOKUP($A:$A,Sales!$B:$H,6,FALSE)</f>
        <v>45598</v>
      </c>
      <c r="K781" s="9">
        <f>VLOOKUP($A:$A,Sales!$B:$H,4,FALSE)</f>
        <v>5</v>
      </c>
      <c r="L781" s="5">
        <f t="shared" si="12"/>
        <v>55235</v>
      </c>
    </row>
    <row r="782" spans="1:12" x14ac:dyDescent="0.3">
      <c r="A782">
        <v>1207</v>
      </c>
      <c r="B782">
        <v>2008</v>
      </c>
      <c r="C782">
        <v>3014</v>
      </c>
      <c r="D782" t="str">
        <f>VLOOKUP('Sales table'!$A:$A,Customers!$A:$H,2,FALSE)</f>
        <v>Jeffrey Curtis</v>
      </c>
      <c r="E782">
        <f>VLOOKUP('Sales table'!$A:$A,Customers!$A:$H,4,FALSE)</f>
        <v>26</v>
      </c>
      <c r="F782" t="str">
        <f>VLOOKUP('Sales table'!$A:$A,Customers!$A:$H,5,FALSE)</f>
        <v>Mumbai</v>
      </c>
      <c r="G782" t="str">
        <f>VLOOKUP($B:$B,Products!$A:$D,2,FALSE)</f>
        <v>Earthen Diyas</v>
      </c>
      <c r="H782" t="str">
        <f>VLOOKUP($B:$B,Products!$A:$D,3,FALSE)</f>
        <v>Home Decor</v>
      </c>
      <c r="I782">
        <f>VLOOKUP($B:$B,Products!$A:$D,4,FALSE)</f>
        <v>2136</v>
      </c>
      <c r="J782" s="4">
        <f>VLOOKUP($A:$A,Sales!$B:$H,6,FALSE)</f>
        <v>45596</v>
      </c>
      <c r="K782" s="9">
        <f>VLOOKUP($A:$A,Sales!$B:$H,4,FALSE)</f>
        <v>1</v>
      </c>
      <c r="L782" s="5">
        <f t="shared" si="12"/>
        <v>2136</v>
      </c>
    </row>
    <row r="783" spans="1:12" x14ac:dyDescent="0.3">
      <c r="A783">
        <v>1033</v>
      </c>
      <c r="B783">
        <v>2019</v>
      </c>
      <c r="C783">
        <v>3035</v>
      </c>
      <c r="D783" t="str">
        <f>VLOOKUP('Sales table'!$A:$A,Customers!$A:$H,2,FALSE)</f>
        <v>Maria Holt</v>
      </c>
      <c r="E783">
        <f>VLOOKUP('Sales table'!$A:$A,Customers!$A:$H,4,FALSE)</f>
        <v>18</v>
      </c>
      <c r="F783" t="str">
        <f>VLOOKUP('Sales table'!$A:$A,Customers!$A:$H,5,FALSE)</f>
        <v>Bangalore</v>
      </c>
      <c r="G783" t="str">
        <f>VLOOKUP($B:$B,Products!$A:$D,2,FALSE)</f>
        <v>Designer Kurti</v>
      </c>
      <c r="H783" t="str">
        <f>VLOOKUP($B:$B,Products!$A:$D,3,FALSE)</f>
        <v>Clothing</v>
      </c>
      <c r="I783">
        <f>VLOOKUP($B:$B,Products!$A:$D,4,FALSE)</f>
        <v>13620</v>
      </c>
      <c r="J783" s="4">
        <f>VLOOKUP($A:$A,Sales!$B:$H,6,FALSE)</f>
        <v>45614</v>
      </c>
      <c r="K783" s="9">
        <f>VLOOKUP($A:$A,Sales!$B:$H,4,FALSE)</f>
        <v>4</v>
      </c>
      <c r="L783" s="5">
        <f t="shared" si="12"/>
        <v>54480</v>
      </c>
    </row>
    <row r="784" spans="1:12" x14ac:dyDescent="0.3">
      <c r="A784">
        <v>1297</v>
      </c>
      <c r="B784">
        <v>2006</v>
      </c>
      <c r="C784">
        <v>3004</v>
      </c>
      <c r="D784" t="str">
        <f>VLOOKUP('Sales table'!$A:$A,Customers!$A:$H,2,FALSE)</f>
        <v>Samantha Mendoza</v>
      </c>
      <c r="E784">
        <f>VLOOKUP('Sales table'!$A:$A,Customers!$A:$H,4,FALSE)</f>
        <v>19</v>
      </c>
      <c r="F784" t="str">
        <f>VLOOKUP('Sales table'!$A:$A,Customers!$A:$H,5,FALSE)</f>
        <v>Pune</v>
      </c>
      <c r="G784" t="str">
        <f>VLOOKUP($B:$B,Products!$A:$D,2,FALSE)</f>
        <v>Crackers Pack</v>
      </c>
      <c r="H784" t="str">
        <f>VLOOKUP($B:$B,Products!$A:$D,3,FALSE)</f>
        <v>Crackers</v>
      </c>
      <c r="I784">
        <f>VLOOKUP($B:$B,Products!$A:$D,4,FALSE)</f>
        <v>12060</v>
      </c>
      <c r="J784" s="4">
        <f>VLOOKUP($A:$A,Sales!$B:$H,6,FALSE)</f>
        <v>45601</v>
      </c>
      <c r="K784" s="9">
        <f>VLOOKUP($A:$A,Sales!$B:$H,4,FALSE)</f>
        <v>3</v>
      </c>
      <c r="L784" s="5">
        <f t="shared" si="12"/>
        <v>36180</v>
      </c>
    </row>
    <row r="785" spans="1:12" x14ac:dyDescent="0.3">
      <c r="A785">
        <v>1088</v>
      </c>
      <c r="B785">
        <v>2015</v>
      </c>
      <c r="C785">
        <v>3029</v>
      </c>
      <c r="D785" t="str">
        <f>VLOOKUP('Sales table'!$A:$A,Customers!$A:$H,2,FALSE)</f>
        <v>Mark Mitchell</v>
      </c>
      <c r="E785">
        <f>VLOOKUP('Sales table'!$A:$A,Customers!$A:$H,4,FALSE)</f>
        <v>58</v>
      </c>
      <c r="F785" t="str">
        <f>VLOOKUP('Sales table'!$A:$A,Customers!$A:$H,5,FALSE)</f>
        <v>Delhi</v>
      </c>
      <c r="G785" t="str">
        <f>VLOOKUP($B:$B,Products!$A:$D,2,FALSE)</f>
        <v>Candle Set</v>
      </c>
      <c r="H785" t="str">
        <f>VLOOKUP($B:$B,Products!$A:$D,3,FALSE)</f>
        <v>Home Decor</v>
      </c>
      <c r="I785">
        <f>VLOOKUP($B:$B,Products!$A:$D,4,FALSE)</f>
        <v>17604</v>
      </c>
      <c r="J785" s="4">
        <f>VLOOKUP($A:$A,Sales!$B:$H,6,FALSE)</f>
        <v>45575</v>
      </c>
      <c r="K785" s="9">
        <f>VLOOKUP($A:$A,Sales!$B:$H,4,FALSE)</f>
        <v>3</v>
      </c>
      <c r="L785" s="5">
        <f t="shared" si="12"/>
        <v>52812</v>
      </c>
    </row>
    <row r="786" spans="1:12" x14ac:dyDescent="0.3">
      <c r="A786">
        <v>1226</v>
      </c>
      <c r="B786">
        <v>2008</v>
      </c>
      <c r="C786">
        <v>3017</v>
      </c>
      <c r="D786" t="str">
        <f>VLOOKUP('Sales table'!$A:$A,Customers!$A:$H,2,FALSE)</f>
        <v>Joshua Anderson</v>
      </c>
      <c r="E786">
        <f>VLOOKUP('Sales table'!$A:$A,Customers!$A:$H,4,FALSE)</f>
        <v>41</v>
      </c>
      <c r="F786" t="str">
        <f>VLOOKUP('Sales table'!$A:$A,Customers!$A:$H,5,FALSE)</f>
        <v>Kolkata</v>
      </c>
      <c r="G786" t="str">
        <f>VLOOKUP($B:$B,Products!$A:$D,2,FALSE)</f>
        <v>Earthen Diyas</v>
      </c>
      <c r="H786" t="str">
        <f>VLOOKUP($B:$B,Products!$A:$D,3,FALSE)</f>
        <v>Home Decor</v>
      </c>
      <c r="I786">
        <f>VLOOKUP($B:$B,Products!$A:$D,4,FALSE)</f>
        <v>2136</v>
      </c>
      <c r="J786" s="4">
        <f>VLOOKUP($A:$A,Sales!$B:$H,6,FALSE)</f>
        <v>45581</v>
      </c>
      <c r="K786" s="9">
        <f>VLOOKUP($A:$A,Sales!$B:$H,4,FALSE)</f>
        <v>4</v>
      </c>
      <c r="L786" s="5">
        <f t="shared" si="12"/>
        <v>8544</v>
      </c>
    </row>
    <row r="787" spans="1:12" x14ac:dyDescent="0.3">
      <c r="A787">
        <v>1096</v>
      </c>
      <c r="B787">
        <v>2005</v>
      </c>
      <c r="C787">
        <v>3018</v>
      </c>
      <c r="D787" t="str">
        <f>VLOOKUP('Sales table'!$A:$A,Customers!$A:$H,2,FALSE)</f>
        <v>Morgan Webb</v>
      </c>
      <c r="E787">
        <f>VLOOKUP('Sales table'!$A:$A,Customers!$A:$H,4,FALSE)</f>
        <v>60</v>
      </c>
      <c r="F787" t="str">
        <f>VLOOKUP('Sales table'!$A:$A,Customers!$A:$H,5,FALSE)</f>
        <v>Mumbai</v>
      </c>
      <c r="G787" t="str">
        <f>VLOOKUP($B:$B,Products!$A:$D,2,FALSE)</f>
        <v>LED Lamp</v>
      </c>
      <c r="H787" t="str">
        <f>VLOOKUP($B:$B,Products!$A:$D,3,FALSE)</f>
        <v>Home Decor</v>
      </c>
      <c r="I787">
        <f>VLOOKUP($B:$B,Products!$A:$D,4,FALSE)</f>
        <v>3828</v>
      </c>
      <c r="J787" s="4">
        <f>VLOOKUP($A:$A,Sales!$B:$H,6,FALSE)</f>
        <v>45616</v>
      </c>
      <c r="K787" s="9">
        <f>VLOOKUP($A:$A,Sales!$B:$H,4,FALSE)</f>
        <v>4</v>
      </c>
      <c r="L787" s="5">
        <f t="shared" si="12"/>
        <v>15312</v>
      </c>
    </row>
    <row r="788" spans="1:12" x14ac:dyDescent="0.3">
      <c r="A788">
        <v>1058</v>
      </c>
      <c r="B788">
        <v>2006</v>
      </c>
      <c r="C788">
        <v>3035</v>
      </c>
      <c r="D788" t="str">
        <f>VLOOKUP('Sales table'!$A:$A,Customers!$A:$H,2,FALSE)</f>
        <v>Jo Roberson</v>
      </c>
      <c r="E788">
        <f>VLOOKUP('Sales table'!$A:$A,Customers!$A:$H,4,FALSE)</f>
        <v>44</v>
      </c>
      <c r="F788" t="str">
        <f>VLOOKUP('Sales table'!$A:$A,Customers!$A:$H,5,FALSE)</f>
        <v>Chennai</v>
      </c>
      <c r="G788" t="str">
        <f>VLOOKUP($B:$B,Products!$A:$D,2,FALSE)</f>
        <v>Crackers Pack</v>
      </c>
      <c r="H788" t="str">
        <f>VLOOKUP($B:$B,Products!$A:$D,3,FALSE)</f>
        <v>Crackers</v>
      </c>
      <c r="I788">
        <f>VLOOKUP($B:$B,Products!$A:$D,4,FALSE)</f>
        <v>12060</v>
      </c>
      <c r="J788" s="4">
        <f>VLOOKUP($A:$A,Sales!$B:$H,6,FALSE)</f>
        <v>45580</v>
      </c>
      <c r="K788" s="9">
        <f>VLOOKUP($A:$A,Sales!$B:$H,4,FALSE)</f>
        <v>5</v>
      </c>
      <c r="L788" s="5">
        <f t="shared" si="12"/>
        <v>60300</v>
      </c>
    </row>
    <row r="789" spans="1:12" x14ac:dyDescent="0.3">
      <c r="A789">
        <v>1068</v>
      </c>
      <c r="B789">
        <v>2002</v>
      </c>
      <c r="C789">
        <v>3026</v>
      </c>
      <c r="D789" t="str">
        <f>VLOOKUP('Sales table'!$A:$A,Customers!$A:$H,2,FALSE)</f>
        <v>Tiffany Brown</v>
      </c>
      <c r="E789">
        <f>VLOOKUP('Sales table'!$A:$A,Customers!$A:$H,4,FALSE)</f>
        <v>44</v>
      </c>
      <c r="F789" t="str">
        <f>VLOOKUP('Sales table'!$A:$A,Customers!$A:$H,5,FALSE)</f>
        <v>Mumbai</v>
      </c>
      <c r="G789" t="str">
        <f>VLOOKUP($B:$B,Products!$A:$D,2,FALSE)</f>
        <v>Saree</v>
      </c>
      <c r="H789" t="str">
        <f>VLOOKUP($B:$B,Products!$A:$D,3,FALSE)</f>
        <v>Clothing</v>
      </c>
      <c r="I789">
        <f>VLOOKUP($B:$B,Products!$A:$D,4,FALSE)</f>
        <v>9534</v>
      </c>
      <c r="J789" s="4">
        <f>VLOOKUP($A:$A,Sales!$B:$H,6,FALSE)</f>
        <v>45591</v>
      </c>
      <c r="K789" s="9">
        <f>VLOOKUP($A:$A,Sales!$B:$H,4,FALSE)</f>
        <v>2</v>
      </c>
      <c r="L789" s="5">
        <f t="shared" si="12"/>
        <v>19068</v>
      </c>
    </row>
    <row r="790" spans="1:12" x14ac:dyDescent="0.3">
      <c r="A790">
        <v>1101</v>
      </c>
      <c r="B790">
        <v>2001</v>
      </c>
      <c r="C790">
        <v>3003</v>
      </c>
      <c r="D790" t="str">
        <f>VLOOKUP('Sales table'!$A:$A,Customers!$A:$H,2,FALSE)</f>
        <v>Ronald Wright</v>
      </c>
      <c r="E790">
        <f>VLOOKUP('Sales table'!$A:$A,Customers!$A:$H,4,FALSE)</f>
        <v>46</v>
      </c>
      <c r="F790" t="str">
        <f>VLOOKUP('Sales table'!$A:$A,Customers!$A:$H,5,FALSE)</f>
        <v>Delhi</v>
      </c>
      <c r="G790" t="str">
        <f>VLOOKUP($B:$B,Products!$A:$D,2,FALSE)</f>
        <v>Sweets Box</v>
      </c>
      <c r="H790" t="str">
        <f>VLOOKUP($B:$B,Products!$A:$D,3,FALSE)</f>
        <v>Sweets &amp; Gifts</v>
      </c>
      <c r="I790">
        <f>VLOOKUP($B:$B,Products!$A:$D,4,FALSE)</f>
        <v>7228</v>
      </c>
      <c r="J790" s="4">
        <f>VLOOKUP($A:$A,Sales!$B:$H,6,FALSE)</f>
        <v>45613</v>
      </c>
      <c r="K790" s="9">
        <f>VLOOKUP($A:$A,Sales!$B:$H,4,FALSE)</f>
        <v>3</v>
      </c>
      <c r="L790" s="5">
        <f t="shared" si="12"/>
        <v>21684</v>
      </c>
    </row>
    <row r="791" spans="1:12" x14ac:dyDescent="0.3">
      <c r="A791">
        <v>1245</v>
      </c>
      <c r="B791">
        <v>2011</v>
      </c>
      <c r="C791">
        <v>3034</v>
      </c>
      <c r="D791" t="str">
        <f>VLOOKUP('Sales table'!$A:$A,Customers!$A:$H,2,FALSE)</f>
        <v>Donna Wheeler</v>
      </c>
      <c r="E791">
        <f>VLOOKUP('Sales table'!$A:$A,Customers!$A:$H,4,FALSE)</f>
        <v>61</v>
      </c>
      <c r="F791" t="str">
        <f>VLOOKUP('Sales table'!$A:$A,Customers!$A:$H,5,FALSE)</f>
        <v>Hyderabad</v>
      </c>
      <c r="G791" t="str">
        <f>VLOOKUP($B:$B,Products!$A:$D,2,FALSE)</f>
        <v>Festive Thali</v>
      </c>
      <c r="H791" t="str">
        <f>VLOOKUP($B:$B,Products!$A:$D,3,FALSE)</f>
        <v>Other</v>
      </c>
      <c r="I791">
        <f>VLOOKUP($B:$B,Products!$A:$D,4,FALSE)</f>
        <v>7481</v>
      </c>
      <c r="J791" s="4">
        <f>VLOOKUP($A:$A,Sales!$B:$H,6,FALSE)</f>
        <v>45576</v>
      </c>
      <c r="K791" s="9">
        <f>VLOOKUP($A:$A,Sales!$B:$H,4,FALSE)</f>
        <v>4</v>
      </c>
      <c r="L791" s="5">
        <f t="shared" si="12"/>
        <v>29924</v>
      </c>
    </row>
    <row r="792" spans="1:12" x14ac:dyDescent="0.3">
      <c r="A792">
        <v>1215</v>
      </c>
      <c r="B792">
        <v>2018</v>
      </c>
      <c r="C792">
        <v>3026</v>
      </c>
      <c r="D792" t="str">
        <f>VLOOKUP('Sales table'!$A:$A,Customers!$A:$H,2,FALSE)</f>
        <v>Brent Murphy</v>
      </c>
      <c r="E792">
        <f>VLOOKUP('Sales table'!$A:$A,Customers!$A:$H,4,FALSE)</f>
        <v>57</v>
      </c>
      <c r="F792" t="str">
        <f>VLOOKUP('Sales table'!$A:$A,Customers!$A:$H,5,FALSE)</f>
        <v>Hyderabad</v>
      </c>
      <c r="G792" t="str">
        <f>VLOOKUP($B:$B,Products!$A:$D,2,FALSE)</f>
        <v>Dry Fruits Pack</v>
      </c>
      <c r="H792" t="str">
        <f>VLOOKUP($B:$B,Products!$A:$D,3,FALSE)</f>
        <v>Sweets &amp; Gifts</v>
      </c>
      <c r="I792">
        <f>VLOOKUP($B:$B,Products!$A:$D,4,FALSE)</f>
        <v>7243</v>
      </c>
      <c r="J792" s="4">
        <f>VLOOKUP($A:$A,Sales!$B:$H,6,FALSE)</f>
        <v>45579</v>
      </c>
      <c r="K792" s="9">
        <f>VLOOKUP($A:$A,Sales!$B:$H,4,FALSE)</f>
        <v>2</v>
      </c>
      <c r="L792" s="5">
        <f t="shared" si="12"/>
        <v>14486</v>
      </c>
    </row>
    <row r="793" spans="1:12" x14ac:dyDescent="0.3">
      <c r="A793">
        <v>1196</v>
      </c>
      <c r="B793">
        <v>2023</v>
      </c>
      <c r="C793">
        <v>3027</v>
      </c>
      <c r="D793" t="str">
        <f>VLOOKUP('Sales table'!$A:$A,Customers!$A:$H,2,FALSE)</f>
        <v>Cynthia Martin</v>
      </c>
      <c r="E793">
        <f>VLOOKUP('Sales table'!$A:$A,Customers!$A:$H,4,FALSE)</f>
        <v>20</v>
      </c>
      <c r="F793" t="str">
        <f>VLOOKUP('Sales table'!$A:$A,Customers!$A:$H,5,FALSE)</f>
        <v>Hyderabad</v>
      </c>
      <c r="G793" t="str">
        <f>VLOOKUP($B:$B,Products!$A:$D,2,FALSE)</f>
        <v>Kids Wear</v>
      </c>
      <c r="H793" t="str">
        <f>VLOOKUP($B:$B,Products!$A:$D,3,FALSE)</f>
        <v>Clothing</v>
      </c>
      <c r="I793">
        <f>VLOOKUP($B:$B,Products!$A:$D,4,FALSE)</f>
        <v>4794</v>
      </c>
      <c r="J793" s="4">
        <f>VLOOKUP($A:$A,Sales!$B:$H,6,FALSE)</f>
        <v>45611</v>
      </c>
      <c r="K793" s="9">
        <f>VLOOKUP($A:$A,Sales!$B:$H,4,FALSE)</f>
        <v>2</v>
      </c>
      <c r="L793" s="5">
        <f t="shared" si="12"/>
        <v>9588</v>
      </c>
    </row>
    <row r="794" spans="1:12" x14ac:dyDescent="0.3">
      <c r="A794">
        <v>1209</v>
      </c>
      <c r="B794">
        <v>2023</v>
      </c>
      <c r="C794">
        <v>3031</v>
      </c>
      <c r="D794" t="str">
        <f>VLOOKUP('Sales table'!$A:$A,Customers!$A:$H,2,FALSE)</f>
        <v>Emily Rodriguez</v>
      </c>
      <c r="E794">
        <f>VLOOKUP('Sales table'!$A:$A,Customers!$A:$H,4,FALSE)</f>
        <v>20</v>
      </c>
      <c r="F794" t="str">
        <f>VLOOKUP('Sales table'!$A:$A,Customers!$A:$H,5,FALSE)</f>
        <v>Kolkata</v>
      </c>
      <c r="G794" t="str">
        <f>VLOOKUP($B:$B,Products!$A:$D,2,FALSE)</f>
        <v>Kids Wear</v>
      </c>
      <c r="H794" t="str">
        <f>VLOOKUP($B:$B,Products!$A:$D,3,FALSE)</f>
        <v>Clothing</v>
      </c>
      <c r="I794">
        <f>VLOOKUP($B:$B,Products!$A:$D,4,FALSE)</f>
        <v>4794</v>
      </c>
      <c r="J794" s="4">
        <f>VLOOKUP($A:$A,Sales!$B:$H,6,FALSE)</f>
        <v>45592</v>
      </c>
      <c r="K794" s="9">
        <f>VLOOKUP($A:$A,Sales!$B:$H,4,FALSE)</f>
        <v>2</v>
      </c>
      <c r="L794" s="5">
        <f t="shared" si="12"/>
        <v>9588</v>
      </c>
    </row>
    <row r="795" spans="1:12" x14ac:dyDescent="0.3">
      <c r="A795">
        <v>1228</v>
      </c>
      <c r="B795">
        <v>2016</v>
      </c>
      <c r="C795">
        <v>3011</v>
      </c>
      <c r="D795" t="str">
        <f>VLOOKUP('Sales table'!$A:$A,Customers!$A:$H,2,FALSE)</f>
        <v>Ian Kemp</v>
      </c>
      <c r="E795">
        <f>VLOOKUP('Sales table'!$A:$A,Customers!$A:$H,4,FALSE)</f>
        <v>42</v>
      </c>
      <c r="F795" t="str">
        <f>VLOOKUP('Sales table'!$A:$A,Customers!$A:$H,5,FALSE)</f>
        <v>Kolkata</v>
      </c>
      <c r="G795" t="str">
        <f>VLOOKUP($B:$B,Products!$A:$D,2,FALSE)</f>
        <v>Fairy Lights</v>
      </c>
      <c r="H795" t="str">
        <f>VLOOKUP($B:$B,Products!$A:$D,3,FALSE)</f>
        <v>Home Decor</v>
      </c>
      <c r="I795">
        <f>VLOOKUP($B:$B,Products!$A:$D,4,FALSE)</f>
        <v>12242</v>
      </c>
      <c r="J795" s="4">
        <f>VLOOKUP($A:$A,Sales!$B:$H,6,FALSE)</f>
        <v>45606</v>
      </c>
      <c r="K795" s="9">
        <f>VLOOKUP($A:$A,Sales!$B:$H,4,FALSE)</f>
        <v>4</v>
      </c>
      <c r="L795" s="5">
        <f t="shared" si="12"/>
        <v>48968</v>
      </c>
    </row>
    <row r="796" spans="1:12" x14ac:dyDescent="0.3">
      <c r="A796">
        <v>1053</v>
      </c>
      <c r="B796">
        <v>2009</v>
      </c>
      <c r="C796">
        <v>3031</v>
      </c>
      <c r="D796" t="str">
        <f>VLOOKUP('Sales table'!$A:$A,Customers!$A:$H,2,FALSE)</f>
        <v>Brandon Martin</v>
      </c>
      <c r="E796">
        <f>VLOOKUP('Sales table'!$A:$A,Customers!$A:$H,4,FALSE)</f>
        <v>52</v>
      </c>
      <c r="F796" t="str">
        <f>VLOOKUP('Sales table'!$A:$A,Customers!$A:$H,5,FALSE)</f>
        <v>Kolkata</v>
      </c>
      <c r="G796" t="str">
        <f>VLOOKUP($B:$B,Products!$A:$D,2,FALSE)</f>
        <v>Bluetooth Speaker</v>
      </c>
      <c r="H796" t="str">
        <f>VLOOKUP($B:$B,Products!$A:$D,3,FALSE)</f>
        <v>Electronics</v>
      </c>
      <c r="I796">
        <f>VLOOKUP($B:$B,Products!$A:$D,4,FALSE)</f>
        <v>11047</v>
      </c>
      <c r="J796" s="4">
        <f>VLOOKUP($A:$A,Sales!$B:$H,6,FALSE)</f>
        <v>45604</v>
      </c>
      <c r="K796" s="9">
        <f>VLOOKUP($A:$A,Sales!$B:$H,4,FALSE)</f>
        <v>3</v>
      </c>
      <c r="L796" s="5">
        <f t="shared" si="12"/>
        <v>33141</v>
      </c>
    </row>
    <row r="797" spans="1:12" x14ac:dyDescent="0.3">
      <c r="A797">
        <v>1107</v>
      </c>
      <c r="B797">
        <v>2015</v>
      </c>
      <c r="C797">
        <v>3023</v>
      </c>
      <c r="D797" t="str">
        <f>VLOOKUP('Sales table'!$A:$A,Customers!$A:$H,2,FALSE)</f>
        <v>Crystal Wilson</v>
      </c>
      <c r="E797">
        <f>VLOOKUP('Sales table'!$A:$A,Customers!$A:$H,4,FALSE)</f>
        <v>53</v>
      </c>
      <c r="F797" t="str">
        <f>VLOOKUP('Sales table'!$A:$A,Customers!$A:$H,5,FALSE)</f>
        <v>Hyderabad</v>
      </c>
      <c r="G797" t="str">
        <f>VLOOKUP($B:$B,Products!$A:$D,2,FALSE)</f>
        <v>Candle Set</v>
      </c>
      <c r="H797" t="str">
        <f>VLOOKUP($B:$B,Products!$A:$D,3,FALSE)</f>
        <v>Home Decor</v>
      </c>
      <c r="I797">
        <f>VLOOKUP($B:$B,Products!$A:$D,4,FALSE)</f>
        <v>17604</v>
      </c>
      <c r="J797" s="4">
        <f>VLOOKUP($A:$A,Sales!$B:$H,6,FALSE)</f>
        <v>45599</v>
      </c>
      <c r="K797" s="9">
        <f>VLOOKUP($A:$A,Sales!$B:$H,4,FALSE)</f>
        <v>2</v>
      </c>
      <c r="L797" s="5">
        <f t="shared" si="12"/>
        <v>35208</v>
      </c>
    </row>
    <row r="798" spans="1:12" x14ac:dyDescent="0.3">
      <c r="A798">
        <v>1070</v>
      </c>
      <c r="B798">
        <v>2011</v>
      </c>
      <c r="C798">
        <v>3015</v>
      </c>
      <c r="D798" t="str">
        <f>VLOOKUP('Sales table'!$A:$A,Customers!$A:$H,2,FALSE)</f>
        <v>Pamela Anderson</v>
      </c>
      <c r="E798">
        <f>VLOOKUP('Sales table'!$A:$A,Customers!$A:$H,4,FALSE)</f>
        <v>35</v>
      </c>
      <c r="F798" t="str">
        <f>VLOOKUP('Sales table'!$A:$A,Customers!$A:$H,5,FALSE)</f>
        <v>Pune</v>
      </c>
      <c r="G798" t="str">
        <f>VLOOKUP($B:$B,Products!$A:$D,2,FALSE)</f>
        <v>Festive Thali</v>
      </c>
      <c r="H798" t="str">
        <f>VLOOKUP($B:$B,Products!$A:$D,3,FALSE)</f>
        <v>Other</v>
      </c>
      <c r="I798">
        <f>VLOOKUP($B:$B,Products!$A:$D,4,FALSE)</f>
        <v>7481</v>
      </c>
      <c r="J798" s="4">
        <f>VLOOKUP($A:$A,Sales!$B:$H,6,FALSE)</f>
        <v>45599</v>
      </c>
      <c r="K798" s="9">
        <f>VLOOKUP($A:$A,Sales!$B:$H,4,FALSE)</f>
        <v>1</v>
      </c>
      <c r="L798" s="5">
        <f t="shared" si="12"/>
        <v>7481</v>
      </c>
    </row>
    <row r="799" spans="1:12" x14ac:dyDescent="0.3">
      <c r="A799">
        <v>1259</v>
      </c>
      <c r="B799">
        <v>2003</v>
      </c>
      <c r="C799">
        <v>3003</v>
      </c>
      <c r="D799" t="str">
        <f>VLOOKUP('Sales table'!$A:$A,Customers!$A:$H,2,FALSE)</f>
        <v>Joshua Mccormick</v>
      </c>
      <c r="E799">
        <f>VLOOKUP('Sales table'!$A:$A,Customers!$A:$H,4,FALSE)</f>
        <v>63</v>
      </c>
      <c r="F799" t="str">
        <f>VLOOKUP('Sales table'!$A:$A,Customers!$A:$H,5,FALSE)</f>
        <v>Mumbai</v>
      </c>
      <c r="G799" t="str">
        <f>VLOOKUP($B:$B,Products!$A:$D,2,FALSE)</f>
        <v>Kurta</v>
      </c>
      <c r="H799" t="str">
        <f>VLOOKUP($B:$B,Products!$A:$D,3,FALSE)</f>
        <v>Clothing</v>
      </c>
      <c r="I799">
        <f>VLOOKUP($B:$B,Products!$A:$D,4,FALSE)</f>
        <v>13241</v>
      </c>
      <c r="J799" s="4">
        <f>VLOOKUP($A:$A,Sales!$B:$H,6,FALSE)</f>
        <v>45585</v>
      </c>
      <c r="K799" s="9">
        <f>VLOOKUP($A:$A,Sales!$B:$H,4,FALSE)</f>
        <v>3</v>
      </c>
      <c r="L799" s="5">
        <f t="shared" si="12"/>
        <v>39723</v>
      </c>
    </row>
    <row r="800" spans="1:12" x14ac:dyDescent="0.3">
      <c r="A800">
        <v>1241</v>
      </c>
      <c r="B800">
        <v>2021</v>
      </c>
      <c r="C800">
        <v>3028</v>
      </c>
      <c r="D800" t="str">
        <f>VLOOKUP('Sales table'!$A:$A,Customers!$A:$H,2,FALSE)</f>
        <v>Juan Romero</v>
      </c>
      <c r="E800">
        <f>VLOOKUP('Sales table'!$A:$A,Customers!$A:$H,4,FALSE)</f>
        <v>44</v>
      </c>
      <c r="F800" t="str">
        <f>VLOOKUP('Sales table'!$A:$A,Customers!$A:$H,5,FALSE)</f>
        <v>Hyderabad</v>
      </c>
      <c r="G800" t="str">
        <f>VLOOKUP($B:$B,Products!$A:$D,2,FALSE)</f>
        <v>Smartwatch</v>
      </c>
      <c r="H800" t="str">
        <f>VLOOKUP($B:$B,Products!$A:$D,3,FALSE)</f>
        <v>Electronics</v>
      </c>
      <c r="I800">
        <f>VLOOKUP($B:$B,Products!$A:$D,4,FALSE)</f>
        <v>17586</v>
      </c>
      <c r="J800" s="4">
        <f>VLOOKUP($A:$A,Sales!$B:$H,6,FALSE)</f>
        <v>45609</v>
      </c>
      <c r="K800" s="9">
        <f>VLOOKUP($A:$A,Sales!$B:$H,4,FALSE)</f>
        <v>3</v>
      </c>
      <c r="L800" s="5">
        <f t="shared" si="12"/>
        <v>52758</v>
      </c>
    </row>
    <row r="801" spans="1:12" x14ac:dyDescent="0.3">
      <c r="A801">
        <v>1165</v>
      </c>
      <c r="B801">
        <v>2004</v>
      </c>
      <c r="C801">
        <v>3035</v>
      </c>
      <c r="D801" t="str">
        <f>VLOOKUP('Sales table'!$A:$A,Customers!$A:$H,2,FALSE)</f>
        <v>Amanda Carter</v>
      </c>
      <c r="E801">
        <f>VLOOKUP('Sales table'!$A:$A,Customers!$A:$H,4,FALSE)</f>
        <v>38</v>
      </c>
      <c r="F801" t="str">
        <f>VLOOKUP('Sales table'!$A:$A,Customers!$A:$H,5,FALSE)</f>
        <v>Kolkata</v>
      </c>
      <c r="G801" t="str">
        <f>VLOOKUP($B:$B,Products!$A:$D,2,FALSE)</f>
        <v>Smartphone</v>
      </c>
      <c r="H801" t="str">
        <f>VLOOKUP($B:$B,Products!$A:$D,3,FALSE)</f>
        <v>Electronics</v>
      </c>
      <c r="I801">
        <f>VLOOKUP($B:$B,Products!$A:$D,4,FALSE)</f>
        <v>4952</v>
      </c>
      <c r="J801" s="4">
        <f>VLOOKUP($A:$A,Sales!$B:$H,6,FALSE)</f>
        <v>45612</v>
      </c>
      <c r="K801" s="9">
        <f>VLOOKUP($A:$A,Sales!$B:$H,4,FALSE)</f>
        <v>4</v>
      </c>
      <c r="L801" s="5">
        <f t="shared" si="12"/>
        <v>19808</v>
      </c>
    </row>
    <row r="802" spans="1:12" x14ac:dyDescent="0.3">
      <c r="A802">
        <v>1227</v>
      </c>
      <c r="B802">
        <v>2009</v>
      </c>
      <c r="C802">
        <v>3029</v>
      </c>
      <c r="D802" t="str">
        <f>VLOOKUP('Sales table'!$A:$A,Customers!$A:$H,2,FALSE)</f>
        <v>Stephanie Campbell</v>
      </c>
      <c r="E802">
        <f>VLOOKUP('Sales table'!$A:$A,Customers!$A:$H,4,FALSE)</f>
        <v>42</v>
      </c>
      <c r="F802" t="str">
        <f>VLOOKUP('Sales table'!$A:$A,Customers!$A:$H,5,FALSE)</f>
        <v>Chennai</v>
      </c>
      <c r="G802" t="str">
        <f>VLOOKUP($B:$B,Products!$A:$D,2,FALSE)</f>
        <v>Bluetooth Speaker</v>
      </c>
      <c r="H802" t="str">
        <f>VLOOKUP($B:$B,Products!$A:$D,3,FALSE)</f>
        <v>Electronics</v>
      </c>
      <c r="I802">
        <f>VLOOKUP($B:$B,Products!$A:$D,4,FALSE)</f>
        <v>11047</v>
      </c>
      <c r="J802" s="4">
        <f>VLOOKUP($A:$A,Sales!$B:$H,6,FALSE)</f>
        <v>45596</v>
      </c>
      <c r="K802" s="9">
        <f>VLOOKUP($A:$A,Sales!$B:$H,4,FALSE)</f>
        <v>5</v>
      </c>
      <c r="L802" s="5">
        <f t="shared" si="12"/>
        <v>55235</v>
      </c>
    </row>
    <row r="803" spans="1:12" x14ac:dyDescent="0.3">
      <c r="A803">
        <v>1187</v>
      </c>
      <c r="B803">
        <v>2019</v>
      </c>
      <c r="C803">
        <v>3015</v>
      </c>
      <c r="D803" t="str">
        <f>VLOOKUP('Sales table'!$A:$A,Customers!$A:$H,2,FALSE)</f>
        <v>Steven Sosa</v>
      </c>
      <c r="E803">
        <f>VLOOKUP('Sales table'!$A:$A,Customers!$A:$H,4,FALSE)</f>
        <v>39</v>
      </c>
      <c r="F803" t="str">
        <f>VLOOKUP('Sales table'!$A:$A,Customers!$A:$H,5,FALSE)</f>
        <v>Chennai</v>
      </c>
      <c r="G803" t="str">
        <f>VLOOKUP($B:$B,Products!$A:$D,2,FALSE)</f>
        <v>Designer Kurti</v>
      </c>
      <c r="H803" t="str">
        <f>VLOOKUP($B:$B,Products!$A:$D,3,FALSE)</f>
        <v>Clothing</v>
      </c>
      <c r="I803">
        <f>VLOOKUP($B:$B,Products!$A:$D,4,FALSE)</f>
        <v>13620</v>
      </c>
      <c r="J803" s="4">
        <f>VLOOKUP($A:$A,Sales!$B:$H,6,FALSE)</f>
        <v>45598</v>
      </c>
      <c r="K803" s="9">
        <f>VLOOKUP($A:$A,Sales!$B:$H,4,FALSE)</f>
        <v>4</v>
      </c>
      <c r="L803" s="5">
        <f t="shared" si="12"/>
        <v>54480</v>
      </c>
    </row>
    <row r="804" spans="1:12" x14ac:dyDescent="0.3">
      <c r="A804">
        <v>1189</v>
      </c>
      <c r="B804">
        <v>2009</v>
      </c>
      <c r="C804">
        <v>3022</v>
      </c>
      <c r="D804" t="str">
        <f>VLOOKUP('Sales table'!$A:$A,Customers!$A:$H,2,FALSE)</f>
        <v>Kaitlyn Hickman</v>
      </c>
      <c r="E804">
        <f>VLOOKUP('Sales table'!$A:$A,Customers!$A:$H,4,FALSE)</f>
        <v>21</v>
      </c>
      <c r="F804" t="str">
        <f>VLOOKUP('Sales table'!$A:$A,Customers!$A:$H,5,FALSE)</f>
        <v>Delhi</v>
      </c>
      <c r="G804" t="str">
        <f>VLOOKUP($B:$B,Products!$A:$D,2,FALSE)</f>
        <v>Bluetooth Speaker</v>
      </c>
      <c r="H804" t="str">
        <f>VLOOKUP($B:$B,Products!$A:$D,3,FALSE)</f>
        <v>Electronics</v>
      </c>
      <c r="I804">
        <f>VLOOKUP($B:$B,Products!$A:$D,4,FALSE)</f>
        <v>11047</v>
      </c>
      <c r="J804" s="4">
        <f>VLOOKUP($A:$A,Sales!$B:$H,6,FALSE)</f>
        <v>45599</v>
      </c>
      <c r="K804" s="9">
        <f>VLOOKUP($A:$A,Sales!$B:$H,4,FALSE)</f>
        <v>2</v>
      </c>
      <c r="L804" s="5">
        <f t="shared" si="12"/>
        <v>22094</v>
      </c>
    </row>
    <row r="805" spans="1:12" x14ac:dyDescent="0.3">
      <c r="A805">
        <v>1150</v>
      </c>
      <c r="B805">
        <v>2012</v>
      </c>
      <c r="C805">
        <v>3024</v>
      </c>
      <c r="D805" t="str">
        <f>VLOOKUP('Sales table'!$A:$A,Customers!$A:$H,2,FALSE)</f>
        <v>Angelica Davis</v>
      </c>
      <c r="E805">
        <f>VLOOKUP('Sales table'!$A:$A,Customers!$A:$H,4,FALSE)</f>
        <v>18</v>
      </c>
      <c r="F805" t="str">
        <f>VLOOKUP('Sales table'!$A:$A,Customers!$A:$H,5,FALSE)</f>
        <v>Bangalore</v>
      </c>
      <c r="G805" t="str">
        <f>VLOOKUP($B:$B,Products!$A:$D,2,FALSE)</f>
        <v>Wall Hanging</v>
      </c>
      <c r="H805" t="str">
        <f>VLOOKUP($B:$B,Products!$A:$D,3,FALSE)</f>
        <v>Home Decor</v>
      </c>
      <c r="I805">
        <f>VLOOKUP($B:$B,Products!$A:$D,4,FALSE)</f>
        <v>11867</v>
      </c>
      <c r="J805" s="4">
        <f>VLOOKUP($A:$A,Sales!$B:$H,6,FALSE)</f>
        <v>45601</v>
      </c>
      <c r="K805" s="9">
        <f>VLOOKUP($A:$A,Sales!$B:$H,4,FALSE)</f>
        <v>3</v>
      </c>
      <c r="L805" s="5">
        <f t="shared" si="12"/>
        <v>35601</v>
      </c>
    </row>
    <row r="806" spans="1:12" x14ac:dyDescent="0.3">
      <c r="A806">
        <v>1096</v>
      </c>
      <c r="B806">
        <v>2016</v>
      </c>
      <c r="C806">
        <v>3032</v>
      </c>
      <c r="D806" t="str">
        <f>VLOOKUP('Sales table'!$A:$A,Customers!$A:$H,2,FALSE)</f>
        <v>Morgan Webb</v>
      </c>
      <c r="E806">
        <f>VLOOKUP('Sales table'!$A:$A,Customers!$A:$H,4,FALSE)</f>
        <v>60</v>
      </c>
      <c r="F806" t="str">
        <f>VLOOKUP('Sales table'!$A:$A,Customers!$A:$H,5,FALSE)</f>
        <v>Mumbai</v>
      </c>
      <c r="G806" t="str">
        <f>VLOOKUP($B:$B,Products!$A:$D,2,FALSE)</f>
        <v>Fairy Lights</v>
      </c>
      <c r="H806" t="str">
        <f>VLOOKUP($B:$B,Products!$A:$D,3,FALSE)</f>
        <v>Home Decor</v>
      </c>
      <c r="I806">
        <f>VLOOKUP($B:$B,Products!$A:$D,4,FALSE)</f>
        <v>12242</v>
      </c>
      <c r="J806" s="4">
        <f>VLOOKUP($A:$A,Sales!$B:$H,6,FALSE)</f>
        <v>45616</v>
      </c>
      <c r="K806" s="9">
        <f>VLOOKUP($A:$A,Sales!$B:$H,4,FALSE)</f>
        <v>4</v>
      </c>
      <c r="L806" s="5">
        <f t="shared" si="12"/>
        <v>48968</v>
      </c>
    </row>
    <row r="807" spans="1:12" x14ac:dyDescent="0.3">
      <c r="A807">
        <v>1061</v>
      </c>
      <c r="B807">
        <v>2024</v>
      </c>
      <c r="C807">
        <v>3001</v>
      </c>
      <c r="D807" t="str">
        <f>VLOOKUP('Sales table'!$A:$A,Customers!$A:$H,2,FALSE)</f>
        <v>Alexander Gonzalez</v>
      </c>
      <c r="E807">
        <f>VLOOKUP('Sales table'!$A:$A,Customers!$A:$H,4,FALSE)</f>
        <v>53</v>
      </c>
      <c r="F807" t="str">
        <f>VLOOKUP('Sales table'!$A:$A,Customers!$A:$H,5,FALSE)</f>
        <v>Pune</v>
      </c>
      <c r="G807" t="str">
        <f>VLOOKUP($B:$B,Products!$A:$D,2,FALSE)</f>
        <v>Perfume Gift Set</v>
      </c>
      <c r="H807" t="str">
        <f>VLOOKUP($B:$B,Products!$A:$D,3,FALSE)</f>
        <v>Accessories</v>
      </c>
      <c r="I807">
        <f>VLOOKUP($B:$B,Products!$A:$D,4,FALSE)</f>
        <v>16272</v>
      </c>
      <c r="J807" s="4">
        <f>VLOOKUP($A:$A,Sales!$B:$H,6,FALSE)</f>
        <v>45579</v>
      </c>
      <c r="K807" s="9">
        <f>VLOOKUP($A:$A,Sales!$B:$H,4,FALSE)</f>
        <v>3</v>
      </c>
      <c r="L807" s="5">
        <f t="shared" si="12"/>
        <v>48816</v>
      </c>
    </row>
    <row r="808" spans="1:12" x14ac:dyDescent="0.3">
      <c r="A808">
        <v>1151</v>
      </c>
      <c r="B808">
        <v>2018</v>
      </c>
      <c r="C808">
        <v>3009</v>
      </c>
      <c r="D808" t="str">
        <f>VLOOKUP('Sales table'!$A:$A,Customers!$A:$H,2,FALSE)</f>
        <v>Cynthia Simpson</v>
      </c>
      <c r="E808">
        <f>VLOOKUP('Sales table'!$A:$A,Customers!$A:$H,4,FALSE)</f>
        <v>58</v>
      </c>
      <c r="F808" t="str">
        <f>VLOOKUP('Sales table'!$A:$A,Customers!$A:$H,5,FALSE)</f>
        <v>Delhi</v>
      </c>
      <c r="G808" t="str">
        <f>VLOOKUP($B:$B,Products!$A:$D,2,FALSE)</f>
        <v>Dry Fruits Pack</v>
      </c>
      <c r="H808" t="str">
        <f>VLOOKUP($B:$B,Products!$A:$D,3,FALSE)</f>
        <v>Sweets &amp; Gifts</v>
      </c>
      <c r="I808">
        <f>VLOOKUP($B:$B,Products!$A:$D,4,FALSE)</f>
        <v>7243</v>
      </c>
      <c r="J808" s="4">
        <f>VLOOKUP($A:$A,Sales!$B:$H,6,FALSE)</f>
        <v>45581</v>
      </c>
      <c r="K808" s="9">
        <f>VLOOKUP($A:$A,Sales!$B:$H,4,FALSE)</f>
        <v>4</v>
      </c>
      <c r="L808" s="5">
        <f t="shared" si="12"/>
        <v>28972</v>
      </c>
    </row>
    <row r="809" spans="1:12" x14ac:dyDescent="0.3">
      <c r="A809">
        <v>1023</v>
      </c>
      <c r="B809">
        <v>2007</v>
      </c>
      <c r="C809">
        <v>3006</v>
      </c>
      <c r="D809" t="str">
        <f>VLOOKUP('Sales table'!$A:$A,Customers!$A:$H,2,FALSE)</f>
        <v>Daniel Williams</v>
      </c>
      <c r="E809">
        <f>VLOOKUP('Sales table'!$A:$A,Customers!$A:$H,4,FALSE)</f>
        <v>45</v>
      </c>
      <c r="F809" t="str">
        <f>VLOOKUP('Sales table'!$A:$A,Customers!$A:$H,5,FALSE)</f>
        <v>Pune</v>
      </c>
      <c r="G809" t="str">
        <f>VLOOKUP($B:$B,Products!$A:$D,2,FALSE)</f>
        <v>Gift Hamper</v>
      </c>
      <c r="H809" t="str">
        <f>VLOOKUP($B:$B,Products!$A:$D,3,FALSE)</f>
        <v>Sweets &amp; Gifts</v>
      </c>
      <c r="I809">
        <f>VLOOKUP($B:$B,Products!$A:$D,4,FALSE)</f>
        <v>3412</v>
      </c>
      <c r="J809" s="4">
        <f>VLOOKUP($A:$A,Sales!$B:$H,6,FALSE)</f>
        <v>45581</v>
      </c>
      <c r="K809" s="9">
        <f>VLOOKUP($A:$A,Sales!$B:$H,4,FALSE)</f>
        <v>3</v>
      </c>
      <c r="L809" s="5">
        <f t="shared" si="12"/>
        <v>10236</v>
      </c>
    </row>
    <row r="810" spans="1:12" x14ac:dyDescent="0.3">
      <c r="A810">
        <v>1107</v>
      </c>
      <c r="B810">
        <v>2001</v>
      </c>
      <c r="C810">
        <v>3001</v>
      </c>
      <c r="D810" t="str">
        <f>VLOOKUP('Sales table'!$A:$A,Customers!$A:$H,2,FALSE)</f>
        <v>Crystal Wilson</v>
      </c>
      <c r="E810">
        <f>VLOOKUP('Sales table'!$A:$A,Customers!$A:$H,4,FALSE)</f>
        <v>53</v>
      </c>
      <c r="F810" t="str">
        <f>VLOOKUP('Sales table'!$A:$A,Customers!$A:$H,5,FALSE)</f>
        <v>Hyderabad</v>
      </c>
      <c r="G810" t="str">
        <f>VLOOKUP($B:$B,Products!$A:$D,2,FALSE)</f>
        <v>Sweets Box</v>
      </c>
      <c r="H810" t="str">
        <f>VLOOKUP($B:$B,Products!$A:$D,3,FALSE)</f>
        <v>Sweets &amp; Gifts</v>
      </c>
      <c r="I810">
        <f>VLOOKUP($B:$B,Products!$A:$D,4,FALSE)</f>
        <v>7228</v>
      </c>
      <c r="J810" s="4">
        <f>VLOOKUP($A:$A,Sales!$B:$H,6,FALSE)</f>
        <v>45599</v>
      </c>
      <c r="K810" s="9">
        <f>VLOOKUP($A:$A,Sales!$B:$H,4,FALSE)</f>
        <v>2</v>
      </c>
      <c r="L810" s="5">
        <f t="shared" si="12"/>
        <v>14456</v>
      </c>
    </row>
    <row r="811" spans="1:12" x14ac:dyDescent="0.3">
      <c r="A811">
        <v>1246</v>
      </c>
      <c r="B811">
        <v>2019</v>
      </c>
      <c r="C811">
        <v>3026</v>
      </c>
      <c r="D811" t="str">
        <f>VLOOKUP('Sales table'!$A:$A,Customers!$A:$H,2,FALSE)</f>
        <v>Casey Bailey</v>
      </c>
      <c r="E811">
        <f>VLOOKUP('Sales table'!$A:$A,Customers!$A:$H,4,FALSE)</f>
        <v>18</v>
      </c>
      <c r="F811" t="str">
        <f>VLOOKUP('Sales table'!$A:$A,Customers!$A:$H,5,FALSE)</f>
        <v>Bangalore</v>
      </c>
      <c r="G811" t="str">
        <f>VLOOKUP($B:$B,Products!$A:$D,2,FALSE)</f>
        <v>Designer Kurti</v>
      </c>
      <c r="H811" t="str">
        <f>VLOOKUP($B:$B,Products!$A:$D,3,FALSE)</f>
        <v>Clothing</v>
      </c>
      <c r="I811">
        <f>VLOOKUP($B:$B,Products!$A:$D,4,FALSE)</f>
        <v>13620</v>
      </c>
      <c r="J811" s="4">
        <f>VLOOKUP($A:$A,Sales!$B:$H,6,FALSE)</f>
        <v>45596</v>
      </c>
      <c r="K811" s="9">
        <f>VLOOKUP($A:$A,Sales!$B:$H,4,FALSE)</f>
        <v>2</v>
      </c>
      <c r="L811" s="5">
        <f t="shared" si="12"/>
        <v>27240</v>
      </c>
    </row>
    <row r="812" spans="1:12" x14ac:dyDescent="0.3">
      <c r="A812">
        <v>1270</v>
      </c>
      <c r="B812">
        <v>2004</v>
      </c>
      <c r="C812">
        <v>3030</v>
      </c>
      <c r="D812" t="str">
        <f>VLOOKUP('Sales table'!$A:$A,Customers!$A:$H,2,FALSE)</f>
        <v>Keith Diaz</v>
      </c>
      <c r="E812">
        <f>VLOOKUP('Sales table'!$A:$A,Customers!$A:$H,4,FALSE)</f>
        <v>45</v>
      </c>
      <c r="F812" t="str">
        <f>VLOOKUP('Sales table'!$A:$A,Customers!$A:$H,5,FALSE)</f>
        <v>Pune</v>
      </c>
      <c r="G812" t="str">
        <f>VLOOKUP($B:$B,Products!$A:$D,2,FALSE)</f>
        <v>Smartphone</v>
      </c>
      <c r="H812" t="str">
        <f>VLOOKUP($B:$B,Products!$A:$D,3,FALSE)</f>
        <v>Electronics</v>
      </c>
      <c r="I812">
        <f>VLOOKUP($B:$B,Products!$A:$D,4,FALSE)</f>
        <v>4952</v>
      </c>
      <c r="J812" s="4">
        <f>VLOOKUP($A:$A,Sales!$B:$H,6,FALSE)</f>
        <v>45575</v>
      </c>
      <c r="K812" s="9">
        <f>VLOOKUP($A:$A,Sales!$B:$H,4,FALSE)</f>
        <v>2</v>
      </c>
      <c r="L812" s="5">
        <f t="shared" si="12"/>
        <v>9904</v>
      </c>
    </row>
    <row r="813" spans="1:12" x14ac:dyDescent="0.3">
      <c r="A813">
        <v>1277</v>
      </c>
      <c r="B813">
        <v>2022</v>
      </c>
      <c r="C813">
        <v>3001</v>
      </c>
      <c r="D813" t="str">
        <f>VLOOKUP('Sales table'!$A:$A,Customers!$A:$H,2,FALSE)</f>
        <v>Christopher Jackson</v>
      </c>
      <c r="E813">
        <f>VLOOKUP('Sales table'!$A:$A,Customers!$A:$H,4,FALSE)</f>
        <v>55</v>
      </c>
      <c r="F813" t="str">
        <f>VLOOKUP('Sales table'!$A:$A,Customers!$A:$H,5,FALSE)</f>
        <v>Hyderabad</v>
      </c>
      <c r="G813" t="str">
        <f>VLOOKUP($B:$B,Products!$A:$D,2,FALSE)</f>
        <v>Home Decor Statue</v>
      </c>
      <c r="H813" t="str">
        <f>VLOOKUP($B:$B,Products!$A:$D,3,FALSE)</f>
        <v>Home Decor</v>
      </c>
      <c r="I813">
        <f>VLOOKUP($B:$B,Products!$A:$D,4,FALSE)</f>
        <v>17149</v>
      </c>
      <c r="J813" s="4">
        <f>VLOOKUP($A:$A,Sales!$B:$H,6,FALSE)</f>
        <v>45583</v>
      </c>
      <c r="K813" s="9">
        <f>VLOOKUP($A:$A,Sales!$B:$H,4,FALSE)</f>
        <v>5</v>
      </c>
      <c r="L813" s="5">
        <f t="shared" si="12"/>
        <v>85745</v>
      </c>
    </row>
    <row r="814" spans="1:12" x14ac:dyDescent="0.3">
      <c r="A814">
        <v>1113</v>
      </c>
      <c r="B814">
        <v>2019</v>
      </c>
      <c r="C814">
        <v>3009</v>
      </c>
      <c r="D814" t="str">
        <f>VLOOKUP('Sales table'!$A:$A,Customers!$A:$H,2,FALSE)</f>
        <v>Tyler Lozano</v>
      </c>
      <c r="E814">
        <f>VLOOKUP('Sales table'!$A:$A,Customers!$A:$H,4,FALSE)</f>
        <v>62</v>
      </c>
      <c r="F814" t="str">
        <f>VLOOKUP('Sales table'!$A:$A,Customers!$A:$H,5,FALSE)</f>
        <v>Chennai</v>
      </c>
      <c r="G814" t="str">
        <f>VLOOKUP($B:$B,Products!$A:$D,2,FALSE)</f>
        <v>Designer Kurti</v>
      </c>
      <c r="H814" t="str">
        <f>VLOOKUP($B:$B,Products!$A:$D,3,FALSE)</f>
        <v>Clothing</v>
      </c>
      <c r="I814">
        <f>VLOOKUP($B:$B,Products!$A:$D,4,FALSE)</f>
        <v>13620</v>
      </c>
      <c r="J814" s="4">
        <f>VLOOKUP($A:$A,Sales!$B:$H,6,FALSE)</f>
        <v>45608</v>
      </c>
      <c r="K814" s="9">
        <f>VLOOKUP($A:$A,Sales!$B:$H,4,FALSE)</f>
        <v>1</v>
      </c>
      <c r="L814" s="5">
        <f t="shared" si="12"/>
        <v>13620</v>
      </c>
    </row>
    <row r="815" spans="1:12" x14ac:dyDescent="0.3">
      <c r="A815">
        <v>1083</v>
      </c>
      <c r="B815">
        <v>2011</v>
      </c>
      <c r="C815">
        <v>3017</v>
      </c>
      <c r="D815" t="str">
        <f>VLOOKUP('Sales table'!$A:$A,Customers!$A:$H,2,FALSE)</f>
        <v>James Barrera</v>
      </c>
      <c r="E815">
        <f>VLOOKUP('Sales table'!$A:$A,Customers!$A:$H,4,FALSE)</f>
        <v>31</v>
      </c>
      <c r="F815" t="str">
        <f>VLOOKUP('Sales table'!$A:$A,Customers!$A:$H,5,FALSE)</f>
        <v>Pune</v>
      </c>
      <c r="G815" t="str">
        <f>VLOOKUP($B:$B,Products!$A:$D,2,FALSE)</f>
        <v>Festive Thali</v>
      </c>
      <c r="H815" t="str">
        <f>VLOOKUP($B:$B,Products!$A:$D,3,FALSE)</f>
        <v>Other</v>
      </c>
      <c r="I815">
        <f>VLOOKUP($B:$B,Products!$A:$D,4,FALSE)</f>
        <v>7481</v>
      </c>
      <c r="J815" s="4">
        <f>VLOOKUP($A:$A,Sales!$B:$H,6,FALSE)</f>
        <v>45593</v>
      </c>
      <c r="K815" s="9">
        <f>VLOOKUP($A:$A,Sales!$B:$H,4,FALSE)</f>
        <v>4</v>
      </c>
      <c r="L815" s="5">
        <f t="shared" si="12"/>
        <v>29924</v>
      </c>
    </row>
    <row r="816" spans="1:12" x14ac:dyDescent="0.3">
      <c r="A816">
        <v>1113</v>
      </c>
      <c r="B816">
        <v>2007</v>
      </c>
      <c r="C816">
        <v>3006</v>
      </c>
      <c r="D816" t="str">
        <f>VLOOKUP('Sales table'!$A:$A,Customers!$A:$H,2,FALSE)</f>
        <v>Tyler Lozano</v>
      </c>
      <c r="E816">
        <f>VLOOKUP('Sales table'!$A:$A,Customers!$A:$H,4,FALSE)</f>
        <v>62</v>
      </c>
      <c r="F816" t="str">
        <f>VLOOKUP('Sales table'!$A:$A,Customers!$A:$H,5,FALSE)</f>
        <v>Chennai</v>
      </c>
      <c r="G816" t="str">
        <f>VLOOKUP($B:$B,Products!$A:$D,2,FALSE)</f>
        <v>Gift Hamper</v>
      </c>
      <c r="H816" t="str">
        <f>VLOOKUP($B:$B,Products!$A:$D,3,FALSE)</f>
        <v>Sweets &amp; Gifts</v>
      </c>
      <c r="I816">
        <f>VLOOKUP($B:$B,Products!$A:$D,4,FALSE)</f>
        <v>3412</v>
      </c>
      <c r="J816" s="4">
        <f>VLOOKUP($A:$A,Sales!$B:$H,6,FALSE)</f>
        <v>45608</v>
      </c>
      <c r="K816" s="9">
        <f>VLOOKUP($A:$A,Sales!$B:$H,4,FALSE)</f>
        <v>1</v>
      </c>
      <c r="L816" s="5">
        <f t="shared" si="12"/>
        <v>3412</v>
      </c>
    </row>
    <row r="817" spans="1:12" x14ac:dyDescent="0.3">
      <c r="A817">
        <v>1182</v>
      </c>
      <c r="B817">
        <v>2019</v>
      </c>
      <c r="C817">
        <v>3007</v>
      </c>
      <c r="D817" t="str">
        <f>VLOOKUP('Sales table'!$A:$A,Customers!$A:$H,2,FALSE)</f>
        <v>Benjamin Sanchez</v>
      </c>
      <c r="E817">
        <f>VLOOKUP('Sales table'!$A:$A,Customers!$A:$H,4,FALSE)</f>
        <v>47</v>
      </c>
      <c r="F817" t="str">
        <f>VLOOKUP('Sales table'!$A:$A,Customers!$A:$H,5,FALSE)</f>
        <v>Bangalore</v>
      </c>
      <c r="G817" t="str">
        <f>VLOOKUP($B:$B,Products!$A:$D,2,FALSE)</f>
        <v>Designer Kurti</v>
      </c>
      <c r="H817" t="str">
        <f>VLOOKUP($B:$B,Products!$A:$D,3,FALSE)</f>
        <v>Clothing</v>
      </c>
      <c r="I817">
        <f>VLOOKUP($B:$B,Products!$A:$D,4,FALSE)</f>
        <v>13620</v>
      </c>
      <c r="J817" s="4">
        <f>VLOOKUP($A:$A,Sales!$B:$H,6,FALSE)</f>
        <v>45604</v>
      </c>
      <c r="K817" s="9">
        <f>VLOOKUP($A:$A,Sales!$B:$H,4,FALSE)</f>
        <v>2</v>
      </c>
      <c r="L817" s="5">
        <f t="shared" si="12"/>
        <v>27240</v>
      </c>
    </row>
    <row r="818" spans="1:12" x14ac:dyDescent="0.3">
      <c r="A818">
        <v>1079</v>
      </c>
      <c r="B818">
        <v>2015</v>
      </c>
      <c r="C818">
        <v>3006</v>
      </c>
      <c r="D818" t="str">
        <f>VLOOKUP('Sales table'!$A:$A,Customers!$A:$H,2,FALSE)</f>
        <v>Anthony Myers</v>
      </c>
      <c r="E818">
        <f>VLOOKUP('Sales table'!$A:$A,Customers!$A:$H,4,FALSE)</f>
        <v>39</v>
      </c>
      <c r="F818" t="str">
        <f>VLOOKUP('Sales table'!$A:$A,Customers!$A:$H,5,FALSE)</f>
        <v>Hyderabad</v>
      </c>
      <c r="G818" t="str">
        <f>VLOOKUP($B:$B,Products!$A:$D,2,FALSE)</f>
        <v>Candle Set</v>
      </c>
      <c r="H818" t="str">
        <f>VLOOKUP($B:$B,Products!$A:$D,3,FALSE)</f>
        <v>Home Decor</v>
      </c>
      <c r="I818">
        <f>VLOOKUP($B:$B,Products!$A:$D,4,FALSE)</f>
        <v>17604</v>
      </c>
      <c r="J818" s="4">
        <f>VLOOKUP($A:$A,Sales!$B:$H,6,FALSE)</f>
        <v>45608</v>
      </c>
      <c r="K818" s="9">
        <f>VLOOKUP($A:$A,Sales!$B:$H,4,FALSE)</f>
        <v>2</v>
      </c>
      <c r="L818" s="5">
        <f t="shared" si="12"/>
        <v>35208</v>
      </c>
    </row>
    <row r="819" spans="1:12" x14ac:dyDescent="0.3">
      <c r="A819">
        <v>1188</v>
      </c>
      <c r="B819">
        <v>2002</v>
      </c>
      <c r="C819">
        <v>3015</v>
      </c>
      <c r="D819" t="str">
        <f>VLOOKUP('Sales table'!$A:$A,Customers!$A:$H,2,FALSE)</f>
        <v>Timothy Graham</v>
      </c>
      <c r="E819">
        <f>VLOOKUP('Sales table'!$A:$A,Customers!$A:$H,4,FALSE)</f>
        <v>33</v>
      </c>
      <c r="F819" t="str">
        <f>VLOOKUP('Sales table'!$A:$A,Customers!$A:$H,5,FALSE)</f>
        <v>Kolkata</v>
      </c>
      <c r="G819" t="str">
        <f>VLOOKUP($B:$B,Products!$A:$D,2,FALSE)</f>
        <v>Saree</v>
      </c>
      <c r="H819" t="str">
        <f>VLOOKUP($B:$B,Products!$A:$D,3,FALSE)</f>
        <v>Clothing</v>
      </c>
      <c r="I819">
        <f>VLOOKUP($B:$B,Products!$A:$D,4,FALSE)</f>
        <v>9534</v>
      </c>
      <c r="J819" s="4">
        <f>VLOOKUP($A:$A,Sales!$B:$H,6,FALSE)</f>
        <v>45581</v>
      </c>
      <c r="K819" s="9">
        <f>VLOOKUP($A:$A,Sales!$B:$H,4,FALSE)</f>
        <v>3</v>
      </c>
      <c r="L819" s="5">
        <f t="shared" si="12"/>
        <v>28602</v>
      </c>
    </row>
    <row r="820" spans="1:12" x14ac:dyDescent="0.3">
      <c r="A820">
        <v>1041</v>
      </c>
      <c r="B820">
        <v>2014</v>
      </c>
      <c r="C820">
        <v>3015</v>
      </c>
      <c r="D820" t="str">
        <f>VLOOKUP('Sales table'!$A:$A,Customers!$A:$H,2,FALSE)</f>
        <v>Vincent Hale</v>
      </c>
      <c r="E820">
        <f>VLOOKUP('Sales table'!$A:$A,Customers!$A:$H,4,FALSE)</f>
        <v>31</v>
      </c>
      <c r="F820" t="str">
        <f>VLOOKUP('Sales table'!$A:$A,Customers!$A:$H,5,FALSE)</f>
        <v>Delhi</v>
      </c>
      <c r="G820" t="str">
        <f>VLOOKUP($B:$B,Products!$A:$D,2,FALSE)</f>
        <v>Gold Coin</v>
      </c>
      <c r="H820" t="str">
        <f>VLOOKUP($B:$B,Products!$A:$D,3,FALSE)</f>
        <v>Precious Items</v>
      </c>
      <c r="I820">
        <f>VLOOKUP($B:$B,Products!$A:$D,4,FALSE)</f>
        <v>13823</v>
      </c>
      <c r="J820" s="4">
        <f>VLOOKUP($A:$A,Sales!$B:$H,6,FALSE)</f>
        <v>45594</v>
      </c>
      <c r="K820" s="9">
        <f>VLOOKUP($A:$A,Sales!$B:$H,4,FALSE)</f>
        <v>2</v>
      </c>
      <c r="L820" s="5">
        <f t="shared" si="12"/>
        <v>27646</v>
      </c>
    </row>
    <row r="821" spans="1:12" x14ac:dyDescent="0.3">
      <c r="A821">
        <v>1242</v>
      </c>
      <c r="B821">
        <v>2020</v>
      </c>
      <c r="C821">
        <v>3008</v>
      </c>
      <c r="D821" t="str">
        <f>VLOOKUP('Sales table'!$A:$A,Customers!$A:$H,2,FALSE)</f>
        <v>Julie Gonzalez</v>
      </c>
      <c r="E821">
        <f>VLOOKUP('Sales table'!$A:$A,Customers!$A:$H,4,FALSE)</f>
        <v>23</v>
      </c>
      <c r="F821" t="str">
        <f>VLOOKUP('Sales table'!$A:$A,Customers!$A:$H,5,FALSE)</f>
        <v>Mumbai</v>
      </c>
      <c r="G821" t="str">
        <f>VLOOKUP($B:$B,Products!$A:$D,2,FALSE)</f>
        <v>Ethnic Jewelry</v>
      </c>
      <c r="H821" t="str">
        <f>VLOOKUP($B:$B,Products!$A:$D,3,FALSE)</f>
        <v>Precious Items</v>
      </c>
      <c r="I821">
        <f>VLOOKUP($B:$B,Products!$A:$D,4,FALSE)</f>
        <v>4495</v>
      </c>
      <c r="J821" s="4">
        <f>VLOOKUP($A:$A,Sales!$B:$H,6,FALSE)</f>
        <v>45577</v>
      </c>
      <c r="K821" s="9">
        <f>VLOOKUP($A:$A,Sales!$B:$H,4,FALSE)</f>
        <v>5</v>
      </c>
      <c r="L821" s="5">
        <f t="shared" si="12"/>
        <v>22475</v>
      </c>
    </row>
    <row r="822" spans="1:12" x14ac:dyDescent="0.3">
      <c r="A822">
        <v>1046</v>
      </c>
      <c r="B822">
        <v>2020</v>
      </c>
      <c r="C822">
        <v>3010</v>
      </c>
      <c r="D822" t="str">
        <f>VLOOKUP('Sales table'!$A:$A,Customers!$A:$H,2,FALSE)</f>
        <v>Leslie Little</v>
      </c>
      <c r="E822">
        <f>VLOOKUP('Sales table'!$A:$A,Customers!$A:$H,4,FALSE)</f>
        <v>34</v>
      </c>
      <c r="F822" t="str">
        <f>VLOOKUP('Sales table'!$A:$A,Customers!$A:$H,5,FALSE)</f>
        <v>Chennai</v>
      </c>
      <c r="G822" t="str">
        <f>VLOOKUP($B:$B,Products!$A:$D,2,FALSE)</f>
        <v>Ethnic Jewelry</v>
      </c>
      <c r="H822" t="str">
        <f>VLOOKUP($B:$B,Products!$A:$D,3,FALSE)</f>
        <v>Precious Items</v>
      </c>
      <c r="I822">
        <f>VLOOKUP($B:$B,Products!$A:$D,4,FALSE)</f>
        <v>4495</v>
      </c>
      <c r="J822" s="4">
        <f>VLOOKUP($A:$A,Sales!$B:$H,6,FALSE)</f>
        <v>45610</v>
      </c>
      <c r="K822" s="9">
        <f>VLOOKUP($A:$A,Sales!$B:$H,4,FALSE)</f>
        <v>5</v>
      </c>
      <c r="L822" s="5">
        <f t="shared" si="12"/>
        <v>22475</v>
      </c>
    </row>
    <row r="823" spans="1:12" x14ac:dyDescent="0.3">
      <c r="A823">
        <v>1254</v>
      </c>
      <c r="B823">
        <v>2022</v>
      </c>
      <c r="C823">
        <v>3011</v>
      </c>
      <c r="D823" t="str">
        <f>VLOOKUP('Sales table'!$A:$A,Customers!$A:$H,2,FALSE)</f>
        <v>Matthew Smith</v>
      </c>
      <c r="E823">
        <f>VLOOKUP('Sales table'!$A:$A,Customers!$A:$H,4,FALSE)</f>
        <v>49</v>
      </c>
      <c r="F823" t="str">
        <f>VLOOKUP('Sales table'!$A:$A,Customers!$A:$H,5,FALSE)</f>
        <v>Pune</v>
      </c>
      <c r="G823" t="str">
        <f>VLOOKUP($B:$B,Products!$A:$D,2,FALSE)</f>
        <v>Home Decor Statue</v>
      </c>
      <c r="H823" t="str">
        <f>VLOOKUP($B:$B,Products!$A:$D,3,FALSE)</f>
        <v>Home Decor</v>
      </c>
      <c r="I823">
        <f>VLOOKUP($B:$B,Products!$A:$D,4,FALSE)</f>
        <v>17149</v>
      </c>
      <c r="J823" s="4">
        <f>VLOOKUP($A:$A,Sales!$B:$H,6,FALSE)</f>
        <v>45608</v>
      </c>
      <c r="K823" s="9">
        <f>VLOOKUP($A:$A,Sales!$B:$H,4,FALSE)</f>
        <v>5</v>
      </c>
      <c r="L823" s="5">
        <f t="shared" si="12"/>
        <v>85745</v>
      </c>
    </row>
    <row r="824" spans="1:12" x14ac:dyDescent="0.3">
      <c r="A824">
        <v>1194</v>
      </c>
      <c r="B824">
        <v>2006</v>
      </c>
      <c r="C824">
        <v>3017</v>
      </c>
      <c r="D824" t="str">
        <f>VLOOKUP('Sales table'!$A:$A,Customers!$A:$H,2,FALSE)</f>
        <v>Danielle Davis</v>
      </c>
      <c r="E824">
        <f>VLOOKUP('Sales table'!$A:$A,Customers!$A:$H,4,FALSE)</f>
        <v>41</v>
      </c>
      <c r="F824" t="str">
        <f>VLOOKUP('Sales table'!$A:$A,Customers!$A:$H,5,FALSE)</f>
        <v>Chennai</v>
      </c>
      <c r="G824" t="str">
        <f>VLOOKUP($B:$B,Products!$A:$D,2,FALSE)</f>
        <v>Crackers Pack</v>
      </c>
      <c r="H824" t="str">
        <f>VLOOKUP($B:$B,Products!$A:$D,3,FALSE)</f>
        <v>Crackers</v>
      </c>
      <c r="I824">
        <f>VLOOKUP($B:$B,Products!$A:$D,4,FALSE)</f>
        <v>12060</v>
      </c>
      <c r="J824" s="4">
        <f>VLOOKUP($A:$A,Sales!$B:$H,6,FALSE)</f>
        <v>45614</v>
      </c>
      <c r="K824" s="9">
        <f>VLOOKUP($A:$A,Sales!$B:$H,4,FALSE)</f>
        <v>2</v>
      </c>
      <c r="L824" s="5">
        <f t="shared" si="12"/>
        <v>24120</v>
      </c>
    </row>
    <row r="825" spans="1:12" x14ac:dyDescent="0.3">
      <c r="A825">
        <v>1278</v>
      </c>
      <c r="B825">
        <v>2003</v>
      </c>
      <c r="C825">
        <v>3005</v>
      </c>
      <c r="D825" t="str">
        <f>VLOOKUP('Sales table'!$A:$A,Customers!$A:$H,2,FALSE)</f>
        <v>Jessica Coleman</v>
      </c>
      <c r="E825">
        <f>VLOOKUP('Sales table'!$A:$A,Customers!$A:$H,4,FALSE)</f>
        <v>21</v>
      </c>
      <c r="F825" t="str">
        <f>VLOOKUP('Sales table'!$A:$A,Customers!$A:$H,5,FALSE)</f>
        <v>Kolkata</v>
      </c>
      <c r="G825" t="str">
        <f>VLOOKUP($B:$B,Products!$A:$D,2,FALSE)</f>
        <v>Kurta</v>
      </c>
      <c r="H825" t="str">
        <f>VLOOKUP($B:$B,Products!$A:$D,3,FALSE)</f>
        <v>Clothing</v>
      </c>
      <c r="I825">
        <f>VLOOKUP($B:$B,Products!$A:$D,4,FALSE)</f>
        <v>13241</v>
      </c>
      <c r="J825" s="4">
        <f>VLOOKUP($A:$A,Sales!$B:$H,6,FALSE)</f>
        <v>45613</v>
      </c>
      <c r="K825" s="9">
        <f>VLOOKUP($A:$A,Sales!$B:$H,4,FALSE)</f>
        <v>3</v>
      </c>
      <c r="L825" s="5">
        <f t="shared" si="12"/>
        <v>39723</v>
      </c>
    </row>
    <row r="826" spans="1:12" x14ac:dyDescent="0.3">
      <c r="A826">
        <v>1121</v>
      </c>
      <c r="B826">
        <v>2020</v>
      </c>
      <c r="C826">
        <v>3009</v>
      </c>
      <c r="D826" t="str">
        <f>VLOOKUP('Sales table'!$A:$A,Customers!$A:$H,2,FALSE)</f>
        <v>Vincent Fuller</v>
      </c>
      <c r="E826">
        <f>VLOOKUP('Sales table'!$A:$A,Customers!$A:$H,4,FALSE)</f>
        <v>25</v>
      </c>
      <c r="F826" t="str">
        <f>VLOOKUP('Sales table'!$A:$A,Customers!$A:$H,5,FALSE)</f>
        <v>Delhi</v>
      </c>
      <c r="G826" t="str">
        <f>VLOOKUP($B:$B,Products!$A:$D,2,FALSE)</f>
        <v>Ethnic Jewelry</v>
      </c>
      <c r="H826" t="str">
        <f>VLOOKUP($B:$B,Products!$A:$D,3,FALSE)</f>
        <v>Precious Items</v>
      </c>
      <c r="I826">
        <f>VLOOKUP($B:$B,Products!$A:$D,4,FALSE)</f>
        <v>4495</v>
      </c>
      <c r="J826" s="4">
        <f>VLOOKUP($A:$A,Sales!$B:$H,6,FALSE)</f>
        <v>45577</v>
      </c>
      <c r="K826" s="9">
        <f>VLOOKUP($A:$A,Sales!$B:$H,4,FALSE)</f>
        <v>2</v>
      </c>
      <c r="L826" s="5">
        <f t="shared" si="12"/>
        <v>8990</v>
      </c>
    </row>
    <row r="827" spans="1:12" x14ac:dyDescent="0.3">
      <c r="A827">
        <v>1168</v>
      </c>
      <c r="B827">
        <v>2015</v>
      </c>
      <c r="C827">
        <v>3005</v>
      </c>
      <c r="D827" t="str">
        <f>VLOOKUP('Sales table'!$A:$A,Customers!$A:$H,2,FALSE)</f>
        <v>John Daniels</v>
      </c>
      <c r="E827">
        <f>VLOOKUP('Sales table'!$A:$A,Customers!$A:$H,4,FALSE)</f>
        <v>40</v>
      </c>
      <c r="F827" t="str">
        <f>VLOOKUP('Sales table'!$A:$A,Customers!$A:$H,5,FALSE)</f>
        <v>Kolkata</v>
      </c>
      <c r="G827" t="str">
        <f>VLOOKUP($B:$B,Products!$A:$D,2,FALSE)</f>
        <v>Candle Set</v>
      </c>
      <c r="H827" t="str">
        <f>VLOOKUP($B:$B,Products!$A:$D,3,FALSE)</f>
        <v>Home Decor</v>
      </c>
      <c r="I827">
        <f>VLOOKUP($B:$B,Products!$A:$D,4,FALSE)</f>
        <v>17604</v>
      </c>
      <c r="J827" s="4">
        <f>VLOOKUP($A:$A,Sales!$B:$H,6,FALSE)</f>
        <v>45595</v>
      </c>
      <c r="K827" s="9">
        <f>VLOOKUP($A:$A,Sales!$B:$H,4,FALSE)</f>
        <v>5</v>
      </c>
      <c r="L827" s="5">
        <f t="shared" si="12"/>
        <v>88020</v>
      </c>
    </row>
    <row r="828" spans="1:12" x14ac:dyDescent="0.3">
      <c r="A828">
        <v>1118</v>
      </c>
      <c r="B828">
        <v>2007</v>
      </c>
      <c r="C828">
        <v>3027</v>
      </c>
      <c r="D828" t="str">
        <f>VLOOKUP('Sales table'!$A:$A,Customers!$A:$H,2,FALSE)</f>
        <v>Jillian Khan</v>
      </c>
      <c r="E828">
        <f>VLOOKUP('Sales table'!$A:$A,Customers!$A:$H,4,FALSE)</f>
        <v>29</v>
      </c>
      <c r="F828" t="str">
        <f>VLOOKUP('Sales table'!$A:$A,Customers!$A:$H,5,FALSE)</f>
        <v>Pune</v>
      </c>
      <c r="G828" t="str">
        <f>VLOOKUP($B:$B,Products!$A:$D,2,FALSE)</f>
        <v>Gift Hamper</v>
      </c>
      <c r="H828" t="str">
        <f>VLOOKUP($B:$B,Products!$A:$D,3,FALSE)</f>
        <v>Sweets &amp; Gifts</v>
      </c>
      <c r="I828">
        <f>VLOOKUP($B:$B,Products!$A:$D,4,FALSE)</f>
        <v>3412</v>
      </c>
      <c r="J828" s="4">
        <f>VLOOKUP($A:$A,Sales!$B:$H,6,FALSE)</f>
        <v>45591</v>
      </c>
      <c r="K828" s="9">
        <f>VLOOKUP($A:$A,Sales!$B:$H,4,FALSE)</f>
        <v>3</v>
      </c>
      <c r="L828" s="5">
        <f t="shared" si="12"/>
        <v>10236</v>
      </c>
    </row>
    <row r="829" spans="1:12" x14ac:dyDescent="0.3">
      <c r="A829">
        <v>1061</v>
      </c>
      <c r="B829">
        <v>2023</v>
      </c>
      <c r="C829">
        <v>3014</v>
      </c>
      <c r="D829" t="str">
        <f>VLOOKUP('Sales table'!$A:$A,Customers!$A:$H,2,FALSE)</f>
        <v>Alexander Gonzalez</v>
      </c>
      <c r="E829">
        <f>VLOOKUP('Sales table'!$A:$A,Customers!$A:$H,4,FALSE)</f>
        <v>53</v>
      </c>
      <c r="F829" t="str">
        <f>VLOOKUP('Sales table'!$A:$A,Customers!$A:$H,5,FALSE)</f>
        <v>Pune</v>
      </c>
      <c r="G829" t="str">
        <f>VLOOKUP($B:$B,Products!$A:$D,2,FALSE)</f>
        <v>Kids Wear</v>
      </c>
      <c r="H829" t="str">
        <f>VLOOKUP($B:$B,Products!$A:$D,3,FALSE)</f>
        <v>Clothing</v>
      </c>
      <c r="I829">
        <f>VLOOKUP($B:$B,Products!$A:$D,4,FALSE)</f>
        <v>4794</v>
      </c>
      <c r="J829" s="4">
        <f>VLOOKUP($A:$A,Sales!$B:$H,6,FALSE)</f>
        <v>45579</v>
      </c>
      <c r="K829" s="9">
        <f>VLOOKUP($A:$A,Sales!$B:$H,4,FALSE)</f>
        <v>3</v>
      </c>
      <c r="L829" s="5">
        <f t="shared" si="12"/>
        <v>14382</v>
      </c>
    </row>
    <row r="830" spans="1:12" x14ac:dyDescent="0.3">
      <c r="A830">
        <v>1213</v>
      </c>
      <c r="B830">
        <v>2023</v>
      </c>
      <c r="C830">
        <v>3009</v>
      </c>
      <c r="D830" t="str">
        <f>VLOOKUP('Sales table'!$A:$A,Customers!$A:$H,2,FALSE)</f>
        <v>Michael Compton</v>
      </c>
      <c r="E830">
        <f>VLOOKUP('Sales table'!$A:$A,Customers!$A:$H,4,FALSE)</f>
        <v>55</v>
      </c>
      <c r="F830" t="str">
        <f>VLOOKUP('Sales table'!$A:$A,Customers!$A:$H,5,FALSE)</f>
        <v>Mumbai</v>
      </c>
      <c r="G830" t="str">
        <f>VLOOKUP($B:$B,Products!$A:$D,2,FALSE)</f>
        <v>Kids Wear</v>
      </c>
      <c r="H830" t="str">
        <f>VLOOKUP($B:$B,Products!$A:$D,3,FALSE)</f>
        <v>Clothing</v>
      </c>
      <c r="I830">
        <f>VLOOKUP($B:$B,Products!$A:$D,4,FALSE)</f>
        <v>4794</v>
      </c>
      <c r="J830" s="4">
        <f>VLOOKUP($A:$A,Sales!$B:$H,6,FALSE)</f>
        <v>45615</v>
      </c>
      <c r="K830" s="9">
        <f>VLOOKUP($A:$A,Sales!$B:$H,4,FALSE)</f>
        <v>1</v>
      </c>
      <c r="L830" s="5">
        <f t="shared" si="12"/>
        <v>4794</v>
      </c>
    </row>
    <row r="831" spans="1:12" x14ac:dyDescent="0.3">
      <c r="A831">
        <v>1134</v>
      </c>
      <c r="B831">
        <v>2025</v>
      </c>
      <c r="C831">
        <v>3023</v>
      </c>
      <c r="D831" t="str">
        <f>VLOOKUP('Sales table'!$A:$A,Customers!$A:$H,2,FALSE)</f>
        <v>Bobby Neal</v>
      </c>
      <c r="E831">
        <f>VLOOKUP('Sales table'!$A:$A,Customers!$A:$H,4,FALSE)</f>
        <v>61</v>
      </c>
      <c r="F831" t="str">
        <f>VLOOKUP('Sales table'!$A:$A,Customers!$A:$H,5,FALSE)</f>
        <v>Kolkata</v>
      </c>
      <c r="G831" t="str">
        <f>VLOOKUP($B:$B,Products!$A:$D,2,FALSE)</f>
        <v>Handbag</v>
      </c>
      <c r="H831" t="str">
        <f>VLOOKUP($B:$B,Products!$A:$D,3,FALSE)</f>
        <v>Accessories</v>
      </c>
      <c r="I831">
        <f>VLOOKUP($B:$B,Products!$A:$D,4,FALSE)</f>
        <v>17019</v>
      </c>
      <c r="J831" s="4">
        <f>VLOOKUP($A:$A,Sales!$B:$H,6,FALSE)</f>
        <v>45612</v>
      </c>
      <c r="K831" s="9">
        <f>VLOOKUP($A:$A,Sales!$B:$H,4,FALSE)</f>
        <v>1</v>
      </c>
      <c r="L831" s="5">
        <f t="shared" si="12"/>
        <v>17019</v>
      </c>
    </row>
    <row r="832" spans="1:12" x14ac:dyDescent="0.3">
      <c r="A832">
        <v>1144</v>
      </c>
      <c r="B832">
        <v>2025</v>
      </c>
      <c r="C832">
        <v>3016</v>
      </c>
      <c r="D832" t="str">
        <f>VLOOKUP('Sales table'!$A:$A,Customers!$A:$H,2,FALSE)</f>
        <v>Amanda Henry</v>
      </c>
      <c r="E832">
        <f>VLOOKUP('Sales table'!$A:$A,Customers!$A:$H,4,FALSE)</f>
        <v>63</v>
      </c>
      <c r="F832" t="str">
        <f>VLOOKUP('Sales table'!$A:$A,Customers!$A:$H,5,FALSE)</f>
        <v>Hyderabad</v>
      </c>
      <c r="G832" t="str">
        <f>VLOOKUP($B:$B,Products!$A:$D,2,FALSE)</f>
        <v>Handbag</v>
      </c>
      <c r="H832" t="str">
        <f>VLOOKUP($B:$B,Products!$A:$D,3,FALSE)</f>
        <v>Accessories</v>
      </c>
      <c r="I832">
        <f>VLOOKUP($B:$B,Products!$A:$D,4,FALSE)</f>
        <v>17019</v>
      </c>
      <c r="J832" s="4">
        <f>VLOOKUP($A:$A,Sales!$B:$H,6,FALSE)</f>
        <v>45595</v>
      </c>
      <c r="K832" s="9">
        <f>VLOOKUP($A:$A,Sales!$B:$H,4,FALSE)</f>
        <v>5</v>
      </c>
      <c r="L832" s="5">
        <f t="shared" si="12"/>
        <v>85095</v>
      </c>
    </row>
    <row r="833" spans="1:12" x14ac:dyDescent="0.3">
      <c r="A833">
        <v>1162</v>
      </c>
      <c r="B833">
        <v>2004</v>
      </c>
      <c r="C833">
        <v>3001</v>
      </c>
      <c r="D833" t="str">
        <f>VLOOKUP('Sales table'!$A:$A,Customers!$A:$H,2,FALSE)</f>
        <v>Jamie Jarvis</v>
      </c>
      <c r="E833">
        <f>VLOOKUP('Sales table'!$A:$A,Customers!$A:$H,4,FALSE)</f>
        <v>38</v>
      </c>
      <c r="F833" t="str">
        <f>VLOOKUP('Sales table'!$A:$A,Customers!$A:$H,5,FALSE)</f>
        <v>Kolkata</v>
      </c>
      <c r="G833" t="str">
        <f>VLOOKUP($B:$B,Products!$A:$D,2,FALSE)</f>
        <v>Smartphone</v>
      </c>
      <c r="H833" t="str">
        <f>VLOOKUP($B:$B,Products!$A:$D,3,FALSE)</f>
        <v>Electronics</v>
      </c>
      <c r="I833">
        <f>VLOOKUP($B:$B,Products!$A:$D,4,FALSE)</f>
        <v>4952</v>
      </c>
      <c r="J833" s="4">
        <f>VLOOKUP($A:$A,Sales!$B:$H,6,FALSE)</f>
        <v>45586</v>
      </c>
      <c r="K833" s="9">
        <f>VLOOKUP($A:$A,Sales!$B:$H,4,FALSE)</f>
        <v>5</v>
      </c>
      <c r="L833" s="5">
        <f t="shared" si="12"/>
        <v>24760</v>
      </c>
    </row>
    <row r="834" spans="1:12" x14ac:dyDescent="0.3">
      <c r="A834">
        <v>1224</v>
      </c>
      <c r="B834">
        <v>2019</v>
      </c>
      <c r="C834">
        <v>3021</v>
      </c>
      <c r="D834" t="str">
        <f>VLOOKUP('Sales table'!$A:$A,Customers!$A:$H,2,FALSE)</f>
        <v>Joseph Garrett</v>
      </c>
      <c r="E834">
        <f>VLOOKUP('Sales table'!$A:$A,Customers!$A:$H,4,FALSE)</f>
        <v>58</v>
      </c>
      <c r="F834" t="str">
        <f>VLOOKUP('Sales table'!$A:$A,Customers!$A:$H,5,FALSE)</f>
        <v>Pune</v>
      </c>
      <c r="G834" t="str">
        <f>VLOOKUP($B:$B,Products!$A:$D,2,FALSE)</f>
        <v>Designer Kurti</v>
      </c>
      <c r="H834" t="str">
        <f>VLOOKUP($B:$B,Products!$A:$D,3,FALSE)</f>
        <v>Clothing</v>
      </c>
      <c r="I834">
        <f>VLOOKUP($B:$B,Products!$A:$D,4,FALSE)</f>
        <v>13620</v>
      </c>
      <c r="J834" s="4">
        <f>VLOOKUP($A:$A,Sales!$B:$H,6,FALSE)</f>
        <v>45609</v>
      </c>
      <c r="K834" s="9">
        <f>VLOOKUP($A:$A,Sales!$B:$H,4,FALSE)</f>
        <v>2</v>
      </c>
      <c r="L834" s="5">
        <f t="shared" si="12"/>
        <v>27240</v>
      </c>
    </row>
    <row r="835" spans="1:12" x14ac:dyDescent="0.3">
      <c r="A835">
        <v>1030</v>
      </c>
      <c r="B835">
        <v>2016</v>
      </c>
      <c r="C835">
        <v>3031</v>
      </c>
      <c r="D835" t="str">
        <f>VLOOKUP('Sales table'!$A:$A,Customers!$A:$H,2,FALSE)</f>
        <v>Andrea Hines</v>
      </c>
      <c r="E835">
        <f>VLOOKUP('Sales table'!$A:$A,Customers!$A:$H,4,FALSE)</f>
        <v>49</v>
      </c>
      <c r="F835" t="str">
        <f>VLOOKUP('Sales table'!$A:$A,Customers!$A:$H,5,FALSE)</f>
        <v>Bangalore</v>
      </c>
      <c r="G835" t="str">
        <f>VLOOKUP($B:$B,Products!$A:$D,2,FALSE)</f>
        <v>Fairy Lights</v>
      </c>
      <c r="H835" t="str">
        <f>VLOOKUP($B:$B,Products!$A:$D,3,FALSE)</f>
        <v>Home Decor</v>
      </c>
      <c r="I835">
        <f>VLOOKUP($B:$B,Products!$A:$D,4,FALSE)</f>
        <v>12242</v>
      </c>
      <c r="J835" s="4">
        <f>VLOOKUP($A:$A,Sales!$B:$H,6,FALSE)</f>
        <v>45611</v>
      </c>
      <c r="K835" s="9">
        <f>VLOOKUP($A:$A,Sales!$B:$H,4,FALSE)</f>
        <v>4</v>
      </c>
      <c r="L835" s="5">
        <f t="shared" ref="L835:L898" si="13">I835*K835</f>
        <v>48968</v>
      </c>
    </row>
    <row r="836" spans="1:12" x14ac:dyDescent="0.3">
      <c r="A836">
        <v>1282</v>
      </c>
      <c r="B836">
        <v>2011</v>
      </c>
      <c r="C836">
        <v>3019</v>
      </c>
      <c r="D836" t="str">
        <f>VLOOKUP('Sales table'!$A:$A,Customers!$A:$H,2,FALSE)</f>
        <v>Brett Sanchez</v>
      </c>
      <c r="E836">
        <f>VLOOKUP('Sales table'!$A:$A,Customers!$A:$H,4,FALSE)</f>
        <v>50</v>
      </c>
      <c r="F836" t="str">
        <f>VLOOKUP('Sales table'!$A:$A,Customers!$A:$H,5,FALSE)</f>
        <v>Kolkata</v>
      </c>
      <c r="G836" t="str">
        <f>VLOOKUP($B:$B,Products!$A:$D,2,FALSE)</f>
        <v>Festive Thali</v>
      </c>
      <c r="H836" t="str">
        <f>VLOOKUP($B:$B,Products!$A:$D,3,FALSE)</f>
        <v>Other</v>
      </c>
      <c r="I836">
        <f>VLOOKUP($B:$B,Products!$A:$D,4,FALSE)</f>
        <v>7481</v>
      </c>
      <c r="J836" s="4">
        <f>VLOOKUP($A:$A,Sales!$B:$H,6,FALSE)</f>
        <v>45585</v>
      </c>
      <c r="K836" s="9">
        <f>VLOOKUP($A:$A,Sales!$B:$H,4,FALSE)</f>
        <v>2</v>
      </c>
      <c r="L836" s="5">
        <f t="shared" si="13"/>
        <v>14962</v>
      </c>
    </row>
    <row r="837" spans="1:12" x14ac:dyDescent="0.3">
      <c r="A837">
        <v>1046</v>
      </c>
      <c r="B837">
        <v>2015</v>
      </c>
      <c r="C837">
        <v>3021</v>
      </c>
      <c r="D837" t="str">
        <f>VLOOKUP('Sales table'!$A:$A,Customers!$A:$H,2,FALSE)</f>
        <v>Leslie Little</v>
      </c>
      <c r="E837">
        <f>VLOOKUP('Sales table'!$A:$A,Customers!$A:$H,4,FALSE)</f>
        <v>34</v>
      </c>
      <c r="F837" t="str">
        <f>VLOOKUP('Sales table'!$A:$A,Customers!$A:$H,5,FALSE)</f>
        <v>Chennai</v>
      </c>
      <c r="G837" t="str">
        <f>VLOOKUP($B:$B,Products!$A:$D,2,FALSE)</f>
        <v>Candle Set</v>
      </c>
      <c r="H837" t="str">
        <f>VLOOKUP($B:$B,Products!$A:$D,3,FALSE)</f>
        <v>Home Decor</v>
      </c>
      <c r="I837">
        <f>VLOOKUP($B:$B,Products!$A:$D,4,FALSE)</f>
        <v>17604</v>
      </c>
      <c r="J837" s="4">
        <f>VLOOKUP($A:$A,Sales!$B:$H,6,FALSE)</f>
        <v>45610</v>
      </c>
      <c r="K837" s="9">
        <f>VLOOKUP($A:$A,Sales!$B:$H,4,FALSE)</f>
        <v>5</v>
      </c>
      <c r="L837" s="5">
        <f t="shared" si="13"/>
        <v>88020</v>
      </c>
    </row>
    <row r="838" spans="1:12" x14ac:dyDescent="0.3">
      <c r="A838">
        <v>1095</v>
      </c>
      <c r="B838">
        <v>2025</v>
      </c>
      <c r="C838">
        <v>3014</v>
      </c>
      <c r="D838" t="str">
        <f>VLOOKUP('Sales table'!$A:$A,Customers!$A:$H,2,FALSE)</f>
        <v>Edward Johnson</v>
      </c>
      <c r="E838">
        <f>VLOOKUP('Sales table'!$A:$A,Customers!$A:$H,4,FALSE)</f>
        <v>49</v>
      </c>
      <c r="F838" t="str">
        <f>VLOOKUP('Sales table'!$A:$A,Customers!$A:$H,5,FALSE)</f>
        <v>Kolkata</v>
      </c>
      <c r="G838" t="str">
        <f>VLOOKUP($B:$B,Products!$A:$D,2,FALSE)</f>
        <v>Handbag</v>
      </c>
      <c r="H838" t="str">
        <f>VLOOKUP($B:$B,Products!$A:$D,3,FALSE)</f>
        <v>Accessories</v>
      </c>
      <c r="I838">
        <f>VLOOKUP($B:$B,Products!$A:$D,4,FALSE)</f>
        <v>17019</v>
      </c>
      <c r="J838" s="4">
        <f>VLOOKUP($A:$A,Sales!$B:$H,6,FALSE)</f>
        <v>45594</v>
      </c>
      <c r="K838" s="9">
        <f>VLOOKUP($A:$A,Sales!$B:$H,4,FALSE)</f>
        <v>1</v>
      </c>
      <c r="L838" s="5">
        <f t="shared" si="13"/>
        <v>17019</v>
      </c>
    </row>
    <row r="839" spans="1:12" x14ac:dyDescent="0.3">
      <c r="A839">
        <v>1195</v>
      </c>
      <c r="B839">
        <v>2004</v>
      </c>
      <c r="C839">
        <v>3001</v>
      </c>
      <c r="D839" t="str">
        <f>VLOOKUP('Sales table'!$A:$A,Customers!$A:$H,2,FALSE)</f>
        <v>Brianna Robertson</v>
      </c>
      <c r="E839">
        <f>VLOOKUP('Sales table'!$A:$A,Customers!$A:$H,4,FALSE)</f>
        <v>50</v>
      </c>
      <c r="F839" t="str">
        <f>VLOOKUP('Sales table'!$A:$A,Customers!$A:$H,5,FALSE)</f>
        <v>Kolkata</v>
      </c>
      <c r="G839" t="str">
        <f>VLOOKUP($B:$B,Products!$A:$D,2,FALSE)</f>
        <v>Smartphone</v>
      </c>
      <c r="H839" t="str">
        <f>VLOOKUP($B:$B,Products!$A:$D,3,FALSE)</f>
        <v>Electronics</v>
      </c>
      <c r="I839">
        <f>VLOOKUP($B:$B,Products!$A:$D,4,FALSE)</f>
        <v>4952</v>
      </c>
      <c r="J839" s="4">
        <f>VLOOKUP($A:$A,Sales!$B:$H,6,FALSE)</f>
        <v>45580</v>
      </c>
      <c r="K839" s="9">
        <f>VLOOKUP($A:$A,Sales!$B:$H,4,FALSE)</f>
        <v>4</v>
      </c>
      <c r="L839" s="5">
        <f t="shared" si="13"/>
        <v>19808</v>
      </c>
    </row>
    <row r="840" spans="1:12" x14ac:dyDescent="0.3">
      <c r="A840">
        <v>1136</v>
      </c>
      <c r="B840">
        <v>2025</v>
      </c>
      <c r="C840">
        <v>3009</v>
      </c>
      <c r="D840" t="str">
        <f>VLOOKUP('Sales table'!$A:$A,Customers!$A:$H,2,FALSE)</f>
        <v>Brooke Oliver</v>
      </c>
      <c r="E840">
        <f>VLOOKUP('Sales table'!$A:$A,Customers!$A:$H,4,FALSE)</f>
        <v>30</v>
      </c>
      <c r="F840" t="str">
        <f>VLOOKUP('Sales table'!$A:$A,Customers!$A:$H,5,FALSE)</f>
        <v>Chennai</v>
      </c>
      <c r="G840" t="str">
        <f>VLOOKUP($B:$B,Products!$A:$D,2,FALSE)</f>
        <v>Handbag</v>
      </c>
      <c r="H840" t="str">
        <f>VLOOKUP($B:$B,Products!$A:$D,3,FALSE)</f>
        <v>Accessories</v>
      </c>
      <c r="I840">
        <f>VLOOKUP($B:$B,Products!$A:$D,4,FALSE)</f>
        <v>17019</v>
      </c>
      <c r="J840" s="4">
        <f>VLOOKUP($A:$A,Sales!$B:$H,6,FALSE)</f>
        <v>45587</v>
      </c>
      <c r="K840" s="9">
        <f>VLOOKUP($A:$A,Sales!$B:$H,4,FALSE)</f>
        <v>4</v>
      </c>
      <c r="L840" s="5">
        <f t="shared" si="13"/>
        <v>68076</v>
      </c>
    </row>
    <row r="841" spans="1:12" x14ac:dyDescent="0.3">
      <c r="A841">
        <v>1102</v>
      </c>
      <c r="B841">
        <v>2004</v>
      </c>
      <c r="C841">
        <v>3010</v>
      </c>
      <c r="D841" t="str">
        <f>VLOOKUP('Sales table'!$A:$A,Customers!$A:$H,2,FALSE)</f>
        <v>Derrick Matthews</v>
      </c>
      <c r="E841">
        <f>VLOOKUP('Sales table'!$A:$A,Customers!$A:$H,4,FALSE)</f>
        <v>44</v>
      </c>
      <c r="F841" t="str">
        <f>VLOOKUP('Sales table'!$A:$A,Customers!$A:$H,5,FALSE)</f>
        <v>Hyderabad</v>
      </c>
      <c r="G841" t="str">
        <f>VLOOKUP($B:$B,Products!$A:$D,2,FALSE)</f>
        <v>Smartphone</v>
      </c>
      <c r="H841" t="str">
        <f>VLOOKUP($B:$B,Products!$A:$D,3,FALSE)</f>
        <v>Electronics</v>
      </c>
      <c r="I841">
        <f>VLOOKUP($B:$B,Products!$A:$D,4,FALSE)</f>
        <v>4952</v>
      </c>
      <c r="J841" s="4">
        <f>VLOOKUP($A:$A,Sales!$B:$H,6,FALSE)</f>
        <v>45606</v>
      </c>
      <c r="K841" s="9">
        <f>VLOOKUP($A:$A,Sales!$B:$H,4,FALSE)</f>
        <v>5</v>
      </c>
      <c r="L841" s="5">
        <f t="shared" si="13"/>
        <v>24760</v>
      </c>
    </row>
    <row r="842" spans="1:12" x14ac:dyDescent="0.3">
      <c r="A842">
        <v>1248</v>
      </c>
      <c r="B842">
        <v>2024</v>
      </c>
      <c r="C842">
        <v>3016</v>
      </c>
      <c r="D842" t="str">
        <f>VLOOKUP('Sales table'!$A:$A,Customers!$A:$H,2,FALSE)</f>
        <v>Karen Anderson</v>
      </c>
      <c r="E842">
        <f>VLOOKUP('Sales table'!$A:$A,Customers!$A:$H,4,FALSE)</f>
        <v>18</v>
      </c>
      <c r="F842" t="str">
        <f>VLOOKUP('Sales table'!$A:$A,Customers!$A:$H,5,FALSE)</f>
        <v>Mumbai</v>
      </c>
      <c r="G842" t="str">
        <f>VLOOKUP($B:$B,Products!$A:$D,2,FALSE)</f>
        <v>Perfume Gift Set</v>
      </c>
      <c r="H842" t="str">
        <f>VLOOKUP($B:$B,Products!$A:$D,3,FALSE)</f>
        <v>Accessories</v>
      </c>
      <c r="I842">
        <f>VLOOKUP($B:$B,Products!$A:$D,4,FALSE)</f>
        <v>16272</v>
      </c>
      <c r="J842" s="4">
        <f>VLOOKUP($A:$A,Sales!$B:$H,6,FALSE)</f>
        <v>45601</v>
      </c>
      <c r="K842" s="9">
        <f>VLOOKUP($A:$A,Sales!$B:$H,4,FALSE)</f>
        <v>5</v>
      </c>
      <c r="L842" s="5">
        <f t="shared" si="13"/>
        <v>81360</v>
      </c>
    </row>
    <row r="843" spans="1:12" x14ac:dyDescent="0.3">
      <c r="A843">
        <v>1233</v>
      </c>
      <c r="B843">
        <v>2012</v>
      </c>
      <c r="C843">
        <v>3022</v>
      </c>
      <c r="D843" t="str">
        <f>VLOOKUP('Sales table'!$A:$A,Customers!$A:$H,2,FALSE)</f>
        <v>Matthew Jennings</v>
      </c>
      <c r="E843">
        <f>VLOOKUP('Sales table'!$A:$A,Customers!$A:$H,4,FALSE)</f>
        <v>65</v>
      </c>
      <c r="F843" t="str">
        <f>VLOOKUP('Sales table'!$A:$A,Customers!$A:$H,5,FALSE)</f>
        <v>Bangalore</v>
      </c>
      <c r="G843" t="str">
        <f>VLOOKUP($B:$B,Products!$A:$D,2,FALSE)</f>
        <v>Wall Hanging</v>
      </c>
      <c r="H843" t="str">
        <f>VLOOKUP($B:$B,Products!$A:$D,3,FALSE)</f>
        <v>Home Decor</v>
      </c>
      <c r="I843">
        <f>VLOOKUP($B:$B,Products!$A:$D,4,FALSE)</f>
        <v>11867</v>
      </c>
      <c r="J843" s="4">
        <f>VLOOKUP($A:$A,Sales!$B:$H,6,FALSE)</f>
        <v>45593</v>
      </c>
      <c r="K843" s="9">
        <f>VLOOKUP($A:$A,Sales!$B:$H,4,FALSE)</f>
        <v>3</v>
      </c>
      <c r="L843" s="5">
        <f t="shared" si="13"/>
        <v>35601</v>
      </c>
    </row>
    <row r="844" spans="1:12" x14ac:dyDescent="0.3">
      <c r="A844">
        <v>1074</v>
      </c>
      <c r="B844">
        <v>2022</v>
      </c>
      <c r="C844">
        <v>3031</v>
      </c>
      <c r="D844" t="str">
        <f>VLOOKUP('Sales table'!$A:$A,Customers!$A:$H,2,FALSE)</f>
        <v>Kimberly Walker</v>
      </c>
      <c r="E844">
        <f>VLOOKUP('Sales table'!$A:$A,Customers!$A:$H,4,FALSE)</f>
        <v>38</v>
      </c>
      <c r="F844" t="str">
        <f>VLOOKUP('Sales table'!$A:$A,Customers!$A:$H,5,FALSE)</f>
        <v>Bangalore</v>
      </c>
      <c r="G844" t="str">
        <f>VLOOKUP($B:$B,Products!$A:$D,2,FALSE)</f>
        <v>Home Decor Statue</v>
      </c>
      <c r="H844" t="str">
        <f>VLOOKUP($B:$B,Products!$A:$D,3,FALSE)</f>
        <v>Home Decor</v>
      </c>
      <c r="I844">
        <f>VLOOKUP($B:$B,Products!$A:$D,4,FALSE)</f>
        <v>17149</v>
      </c>
      <c r="J844" s="4">
        <f>VLOOKUP($A:$A,Sales!$B:$H,6,FALSE)</f>
        <v>45616</v>
      </c>
      <c r="K844" s="9">
        <f>VLOOKUP($A:$A,Sales!$B:$H,4,FALSE)</f>
        <v>5</v>
      </c>
      <c r="L844" s="5">
        <f t="shared" si="13"/>
        <v>85745</v>
      </c>
    </row>
    <row r="845" spans="1:12" x14ac:dyDescent="0.3">
      <c r="A845">
        <v>1120</v>
      </c>
      <c r="B845">
        <v>2018</v>
      </c>
      <c r="C845">
        <v>3018</v>
      </c>
      <c r="D845" t="str">
        <f>VLOOKUP('Sales table'!$A:$A,Customers!$A:$H,2,FALSE)</f>
        <v>Tracey Gibson</v>
      </c>
      <c r="E845">
        <f>VLOOKUP('Sales table'!$A:$A,Customers!$A:$H,4,FALSE)</f>
        <v>57</v>
      </c>
      <c r="F845" t="str">
        <f>VLOOKUP('Sales table'!$A:$A,Customers!$A:$H,5,FALSE)</f>
        <v>Mumbai</v>
      </c>
      <c r="G845" t="str">
        <f>VLOOKUP($B:$B,Products!$A:$D,2,FALSE)</f>
        <v>Dry Fruits Pack</v>
      </c>
      <c r="H845" t="str">
        <f>VLOOKUP($B:$B,Products!$A:$D,3,FALSE)</f>
        <v>Sweets &amp; Gifts</v>
      </c>
      <c r="I845">
        <f>VLOOKUP($B:$B,Products!$A:$D,4,FALSE)</f>
        <v>7243</v>
      </c>
      <c r="J845" s="4">
        <f>VLOOKUP($A:$A,Sales!$B:$H,6,FALSE)</f>
        <v>45615</v>
      </c>
      <c r="K845" s="9">
        <f>VLOOKUP($A:$A,Sales!$B:$H,4,FALSE)</f>
        <v>4</v>
      </c>
      <c r="L845" s="5">
        <f t="shared" si="13"/>
        <v>28972</v>
      </c>
    </row>
    <row r="846" spans="1:12" x14ac:dyDescent="0.3">
      <c r="A846">
        <v>1050</v>
      </c>
      <c r="B846">
        <v>2006</v>
      </c>
      <c r="C846">
        <v>3033</v>
      </c>
      <c r="D846" t="str">
        <f>VLOOKUP('Sales table'!$A:$A,Customers!$A:$H,2,FALSE)</f>
        <v>Ronald Gonzalez</v>
      </c>
      <c r="E846">
        <f>VLOOKUP('Sales table'!$A:$A,Customers!$A:$H,4,FALSE)</f>
        <v>46</v>
      </c>
      <c r="F846" t="str">
        <f>VLOOKUP('Sales table'!$A:$A,Customers!$A:$H,5,FALSE)</f>
        <v>Chennai</v>
      </c>
      <c r="G846" t="str">
        <f>VLOOKUP($B:$B,Products!$A:$D,2,FALSE)</f>
        <v>Crackers Pack</v>
      </c>
      <c r="H846" t="str">
        <f>VLOOKUP($B:$B,Products!$A:$D,3,FALSE)</f>
        <v>Crackers</v>
      </c>
      <c r="I846">
        <f>VLOOKUP($B:$B,Products!$A:$D,4,FALSE)</f>
        <v>12060</v>
      </c>
      <c r="J846" s="4">
        <f>VLOOKUP($A:$A,Sales!$B:$H,6,FALSE)</f>
        <v>45589</v>
      </c>
      <c r="K846" s="9">
        <f>VLOOKUP($A:$A,Sales!$B:$H,4,FALSE)</f>
        <v>4</v>
      </c>
      <c r="L846" s="5">
        <f t="shared" si="13"/>
        <v>48240</v>
      </c>
    </row>
    <row r="847" spans="1:12" x14ac:dyDescent="0.3">
      <c r="A847">
        <v>1127</v>
      </c>
      <c r="B847">
        <v>2013</v>
      </c>
      <c r="C847">
        <v>3018</v>
      </c>
      <c r="D847" t="str">
        <f>VLOOKUP('Sales table'!$A:$A,Customers!$A:$H,2,FALSE)</f>
        <v>Tom Irwin</v>
      </c>
      <c r="E847">
        <f>VLOOKUP('Sales table'!$A:$A,Customers!$A:$H,4,FALSE)</f>
        <v>38</v>
      </c>
      <c r="F847" t="str">
        <f>VLOOKUP('Sales table'!$A:$A,Customers!$A:$H,5,FALSE)</f>
        <v>Delhi</v>
      </c>
      <c r="G847" t="str">
        <f>VLOOKUP($B:$B,Products!$A:$D,2,FALSE)</f>
        <v>Silver Coin</v>
      </c>
      <c r="H847" t="str">
        <f>VLOOKUP($B:$B,Products!$A:$D,3,FALSE)</f>
        <v>Precious Items</v>
      </c>
      <c r="I847">
        <f>VLOOKUP($B:$B,Products!$A:$D,4,FALSE)</f>
        <v>11845</v>
      </c>
      <c r="J847" s="4">
        <f>VLOOKUP($A:$A,Sales!$B:$H,6,FALSE)</f>
        <v>45600</v>
      </c>
      <c r="K847" s="9">
        <f>VLOOKUP($A:$A,Sales!$B:$H,4,FALSE)</f>
        <v>4</v>
      </c>
      <c r="L847" s="5">
        <f t="shared" si="13"/>
        <v>47380</v>
      </c>
    </row>
    <row r="848" spans="1:12" x14ac:dyDescent="0.3">
      <c r="A848">
        <v>1017</v>
      </c>
      <c r="B848">
        <v>2012</v>
      </c>
      <c r="C848">
        <v>3013</v>
      </c>
      <c r="D848" t="str">
        <f>VLOOKUP('Sales table'!$A:$A,Customers!$A:$H,2,FALSE)</f>
        <v>Sandra Hamilton</v>
      </c>
      <c r="E848">
        <f>VLOOKUP('Sales table'!$A:$A,Customers!$A:$H,4,FALSE)</f>
        <v>39</v>
      </c>
      <c r="F848" t="str">
        <f>VLOOKUP('Sales table'!$A:$A,Customers!$A:$H,5,FALSE)</f>
        <v>Kolkata</v>
      </c>
      <c r="G848" t="str">
        <f>VLOOKUP($B:$B,Products!$A:$D,2,FALSE)</f>
        <v>Wall Hanging</v>
      </c>
      <c r="H848" t="str">
        <f>VLOOKUP($B:$B,Products!$A:$D,3,FALSE)</f>
        <v>Home Decor</v>
      </c>
      <c r="I848">
        <f>VLOOKUP($B:$B,Products!$A:$D,4,FALSE)</f>
        <v>11867</v>
      </c>
      <c r="J848" s="4">
        <f>VLOOKUP($A:$A,Sales!$B:$H,6,FALSE)</f>
        <v>45603</v>
      </c>
      <c r="K848" s="9">
        <f>VLOOKUP($A:$A,Sales!$B:$H,4,FALSE)</f>
        <v>2</v>
      </c>
      <c r="L848" s="5">
        <f t="shared" si="13"/>
        <v>23734</v>
      </c>
    </row>
    <row r="849" spans="1:12" x14ac:dyDescent="0.3">
      <c r="A849">
        <v>1103</v>
      </c>
      <c r="B849">
        <v>2015</v>
      </c>
      <c r="C849">
        <v>3022</v>
      </c>
      <c r="D849" t="str">
        <f>VLOOKUP('Sales table'!$A:$A,Customers!$A:$H,2,FALSE)</f>
        <v>Glenn Cook</v>
      </c>
      <c r="E849">
        <f>VLOOKUP('Sales table'!$A:$A,Customers!$A:$H,4,FALSE)</f>
        <v>58</v>
      </c>
      <c r="F849" t="str">
        <f>VLOOKUP('Sales table'!$A:$A,Customers!$A:$H,5,FALSE)</f>
        <v>Kolkata</v>
      </c>
      <c r="G849" t="str">
        <f>VLOOKUP($B:$B,Products!$A:$D,2,FALSE)</f>
        <v>Candle Set</v>
      </c>
      <c r="H849" t="str">
        <f>VLOOKUP($B:$B,Products!$A:$D,3,FALSE)</f>
        <v>Home Decor</v>
      </c>
      <c r="I849">
        <f>VLOOKUP($B:$B,Products!$A:$D,4,FALSE)</f>
        <v>17604</v>
      </c>
      <c r="J849" s="4">
        <f>VLOOKUP($A:$A,Sales!$B:$H,6,FALSE)</f>
        <v>45597</v>
      </c>
      <c r="K849" s="9">
        <f>VLOOKUP($A:$A,Sales!$B:$H,4,FALSE)</f>
        <v>2</v>
      </c>
      <c r="L849" s="5">
        <f t="shared" si="13"/>
        <v>35208</v>
      </c>
    </row>
    <row r="850" spans="1:12" x14ac:dyDescent="0.3">
      <c r="A850">
        <v>1226</v>
      </c>
      <c r="B850">
        <v>2014</v>
      </c>
      <c r="C850">
        <v>3030</v>
      </c>
      <c r="D850" t="str">
        <f>VLOOKUP('Sales table'!$A:$A,Customers!$A:$H,2,FALSE)</f>
        <v>Joshua Anderson</v>
      </c>
      <c r="E850">
        <f>VLOOKUP('Sales table'!$A:$A,Customers!$A:$H,4,FALSE)</f>
        <v>41</v>
      </c>
      <c r="F850" t="str">
        <f>VLOOKUP('Sales table'!$A:$A,Customers!$A:$H,5,FALSE)</f>
        <v>Kolkata</v>
      </c>
      <c r="G850" t="str">
        <f>VLOOKUP($B:$B,Products!$A:$D,2,FALSE)</f>
        <v>Gold Coin</v>
      </c>
      <c r="H850" t="str">
        <f>VLOOKUP($B:$B,Products!$A:$D,3,FALSE)</f>
        <v>Precious Items</v>
      </c>
      <c r="I850">
        <f>VLOOKUP($B:$B,Products!$A:$D,4,FALSE)</f>
        <v>13823</v>
      </c>
      <c r="J850" s="4">
        <f>VLOOKUP($A:$A,Sales!$B:$H,6,FALSE)</f>
        <v>45581</v>
      </c>
      <c r="K850" s="9">
        <f>VLOOKUP($A:$A,Sales!$B:$H,4,FALSE)</f>
        <v>4</v>
      </c>
      <c r="L850" s="5">
        <f t="shared" si="13"/>
        <v>55292</v>
      </c>
    </row>
    <row r="851" spans="1:12" x14ac:dyDescent="0.3">
      <c r="A851">
        <v>1246</v>
      </c>
      <c r="B851">
        <v>2001</v>
      </c>
      <c r="C851">
        <v>3007</v>
      </c>
      <c r="D851" t="str">
        <f>VLOOKUP('Sales table'!$A:$A,Customers!$A:$H,2,FALSE)</f>
        <v>Casey Bailey</v>
      </c>
      <c r="E851">
        <f>VLOOKUP('Sales table'!$A:$A,Customers!$A:$H,4,FALSE)</f>
        <v>18</v>
      </c>
      <c r="F851" t="str">
        <f>VLOOKUP('Sales table'!$A:$A,Customers!$A:$H,5,FALSE)</f>
        <v>Bangalore</v>
      </c>
      <c r="G851" t="str">
        <f>VLOOKUP($B:$B,Products!$A:$D,2,FALSE)</f>
        <v>Sweets Box</v>
      </c>
      <c r="H851" t="str">
        <f>VLOOKUP($B:$B,Products!$A:$D,3,FALSE)</f>
        <v>Sweets &amp; Gifts</v>
      </c>
      <c r="I851">
        <f>VLOOKUP($B:$B,Products!$A:$D,4,FALSE)</f>
        <v>7228</v>
      </c>
      <c r="J851" s="4">
        <f>VLOOKUP($A:$A,Sales!$B:$H,6,FALSE)</f>
        <v>45596</v>
      </c>
      <c r="K851" s="9">
        <f>VLOOKUP($A:$A,Sales!$B:$H,4,FALSE)</f>
        <v>2</v>
      </c>
      <c r="L851" s="5">
        <f t="shared" si="13"/>
        <v>14456</v>
      </c>
    </row>
    <row r="852" spans="1:12" x14ac:dyDescent="0.3">
      <c r="A852">
        <v>1275</v>
      </c>
      <c r="B852">
        <v>2016</v>
      </c>
      <c r="C852">
        <v>3034</v>
      </c>
      <c r="D852" t="str">
        <f>VLOOKUP('Sales table'!$A:$A,Customers!$A:$H,2,FALSE)</f>
        <v>George Newton</v>
      </c>
      <c r="E852">
        <f>VLOOKUP('Sales table'!$A:$A,Customers!$A:$H,4,FALSE)</f>
        <v>43</v>
      </c>
      <c r="F852" t="str">
        <f>VLOOKUP('Sales table'!$A:$A,Customers!$A:$H,5,FALSE)</f>
        <v>Hyderabad</v>
      </c>
      <c r="G852" t="str">
        <f>VLOOKUP($B:$B,Products!$A:$D,2,FALSE)</f>
        <v>Fairy Lights</v>
      </c>
      <c r="H852" t="str">
        <f>VLOOKUP($B:$B,Products!$A:$D,3,FALSE)</f>
        <v>Home Decor</v>
      </c>
      <c r="I852">
        <f>VLOOKUP($B:$B,Products!$A:$D,4,FALSE)</f>
        <v>12242</v>
      </c>
      <c r="J852" s="4">
        <f>VLOOKUP($A:$A,Sales!$B:$H,6,FALSE)</f>
        <v>45587</v>
      </c>
      <c r="K852" s="9">
        <f>VLOOKUP($A:$A,Sales!$B:$H,4,FALSE)</f>
        <v>2</v>
      </c>
      <c r="L852" s="5">
        <f t="shared" si="13"/>
        <v>24484</v>
      </c>
    </row>
    <row r="853" spans="1:12" x14ac:dyDescent="0.3">
      <c r="A853">
        <v>1207</v>
      </c>
      <c r="B853">
        <v>2024</v>
      </c>
      <c r="C853">
        <v>3016</v>
      </c>
      <c r="D853" t="str">
        <f>VLOOKUP('Sales table'!$A:$A,Customers!$A:$H,2,FALSE)</f>
        <v>Jeffrey Curtis</v>
      </c>
      <c r="E853">
        <f>VLOOKUP('Sales table'!$A:$A,Customers!$A:$H,4,FALSE)</f>
        <v>26</v>
      </c>
      <c r="F853" t="str">
        <f>VLOOKUP('Sales table'!$A:$A,Customers!$A:$H,5,FALSE)</f>
        <v>Mumbai</v>
      </c>
      <c r="G853" t="str">
        <f>VLOOKUP($B:$B,Products!$A:$D,2,FALSE)</f>
        <v>Perfume Gift Set</v>
      </c>
      <c r="H853" t="str">
        <f>VLOOKUP($B:$B,Products!$A:$D,3,FALSE)</f>
        <v>Accessories</v>
      </c>
      <c r="I853">
        <f>VLOOKUP($B:$B,Products!$A:$D,4,FALSE)</f>
        <v>16272</v>
      </c>
      <c r="J853" s="4">
        <f>VLOOKUP($A:$A,Sales!$B:$H,6,FALSE)</f>
        <v>45596</v>
      </c>
      <c r="K853" s="9">
        <f>VLOOKUP($A:$A,Sales!$B:$H,4,FALSE)</f>
        <v>1</v>
      </c>
      <c r="L853" s="5">
        <f t="shared" si="13"/>
        <v>16272</v>
      </c>
    </row>
    <row r="854" spans="1:12" x14ac:dyDescent="0.3">
      <c r="A854">
        <v>1193</v>
      </c>
      <c r="B854">
        <v>2015</v>
      </c>
      <c r="C854">
        <v>3008</v>
      </c>
      <c r="D854" t="str">
        <f>VLOOKUP('Sales table'!$A:$A,Customers!$A:$H,2,FALSE)</f>
        <v>Margaret Schwartz</v>
      </c>
      <c r="E854">
        <f>VLOOKUP('Sales table'!$A:$A,Customers!$A:$H,4,FALSE)</f>
        <v>25</v>
      </c>
      <c r="F854" t="str">
        <f>VLOOKUP('Sales table'!$A:$A,Customers!$A:$H,5,FALSE)</f>
        <v>Mumbai</v>
      </c>
      <c r="G854" t="str">
        <f>VLOOKUP($B:$B,Products!$A:$D,2,FALSE)</f>
        <v>Candle Set</v>
      </c>
      <c r="H854" t="str">
        <f>VLOOKUP($B:$B,Products!$A:$D,3,FALSE)</f>
        <v>Home Decor</v>
      </c>
      <c r="I854">
        <f>VLOOKUP($B:$B,Products!$A:$D,4,FALSE)</f>
        <v>17604</v>
      </c>
      <c r="J854" s="4">
        <f>VLOOKUP($A:$A,Sales!$B:$H,6,FALSE)</f>
        <v>45598</v>
      </c>
      <c r="K854" s="9">
        <f>VLOOKUP($A:$A,Sales!$B:$H,4,FALSE)</f>
        <v>5</v>
      </c>
      <c r="L854" s="5">
        <f t="shared" si="13"/>
        <v>88020</v>
      </c>
    </row>
    <row r="855" spans="1:12" x14ac:dyDescent="0.3">
      <c r="A855">
        <v>1246</v>
      </c>
      <c r="B855">
        <v>2019</v>
      </c>
      <c r="C855">
        <v>3019</v>
      </c>
      <c r="D855" t="str">
        <f>VLOOKUP('Sales table'!$A:$A,Customers!$A:$H,2,FALSE)</f>
        <v>Casey Bailey</v>
      </c>
      <c r="E855">
        <f>VLOOKUP('Sales table'!$A:$A,Customers!$A:$H,4,FALSE)</f>
        <v>18</v>
      </c>
      <c r="F855" t="str">
        <f>VLOOKUP('Sales table'!$A:$A,Customers!$A:$H,5,FALSE)</f>
        <v>Bangalore</v>
      </c>
      <c r="G855" t="str">
        <f>VLOOKUP($B:$B,Products!$A:$D,2,FALSE)</f>
        <v>Designer Kurti</v>
      </c>
      <c r="H855" t="str">
        <f>VLOOKUP($B:$B,Products!$A:$D,3,FALSE)</f>
        <v>Clothing</v>
      </c>
      <c r="I855">
        <f>VLOOKUP($B:$B,Products!$A:$D,4,FALSE)</f>
        <v>13620</v>
      </c>
      <c r="J855" s="4">
        <f>VLOOKUP($A:$A,Sales!$B:$H,6,FALSE)</f>
        <v>45596</v>
      </c>
      <c r="K855" s="9">
        <f>VLOOKUP($A:$A,Sales!$B:$H,4,FALSE)</f>
        <v>2</v>
      </c>
      <c r="L855" s="5">
        <f t="shared" si="13"/>
        <v>27240</v>
      </c>
    </row>
    <row r="856" spans="1:12" x14ac:dyDescent="0.3">
      <c r="A856">
        <v>1078</v>
      </c>
      <c r="B856">
        <v>2018</v>
      </c>
      <c r="C856">
        <v>3004</v>
      </c>
      <c r="D856" t="str">
        <f>VLOOKUP('Sales table'!$A:$A,Customers!$A:$H,2,FALSE)</f>
        <v>Jerry Newman</v>
      </c>
      <c r="E856">
        <f>VLOOKUP('Sales table'!$A:$A,Customers!$A:$H,4,FALSE)</f>
        <v>19</v>
      </c>
      <c r="F856" t="str">
        <f>VLOOKUP('Sales table'!$A:$A,Customers!$A:$H,5,FALSE)</f>
        <v>Delhi</v>
      </c>
      <c r="G856" t="str">
        <f>VLOOKUP($B:$B,Products!$A:$D,2,FALSE)</f>
        <v>Dry Fruits Pack</v>
      </c>
      <c r="H856" t="str">
        <f>VLOOKUP($B:$B,Products!$A:$D,3,FALSE)</f>
        <v>Sweets &amp; Gifts</v>
      </c>
      <c r="I856">
        <f>VLOOKUP($B:$B,Products!$A:$D,4,FALSE)</f>
        <v>7243</v>
      </c>
      <c r="J856" s="4">
        <f>VLOOKUP($A:$A,Sales!$B:$H,6,FALSE)</f>
        <v>45610</v>
      </c>
      <c r="K856" s="9">
        <f>VLOOKUP($A:$A,Sales!$B:$H,4,FALSE)</f>
        <v>5</v>
      </c>
      <c r="L856" s="5">
        <f t="shared" si="13"/>
        <v>36215</v>
      </c>
    </row>
    <row r="857" spans="1:12" x14ac:dyDescent="0.3">
      <c r="A857">
        <v>1234</v>
      </c>
      <c r="B857">
        <v>2004</v>
      </c>
      <c r="C857">
        <v>3003</v>
      </c>
      <c r="D857" t="str">
        <f>VLOOKUP('Sales table'!$A:$A,Customers!$A:$H,2,FALSE)</f>
        <v>Kaitlyn Collier</v>
      </c>
      <c r="E857">
        <f>VLOOKUP('Sales table'!$A:$A,Customers!$A:$H,4,FALSE)</f>
        <v>55</v>
      </c>
      <c r="F857" t="str">
        <f>VLOOKUP('Sales table'!$A:$A,Customers!$A:$H,5,FALSE)</f>
        <v>Kolkata</v>
      </c>
      <c r="G857" t="str">
        <f>VLOOKUP($B:$B,Products!$A:$D,2,FALSE)</f>
        <v>Smartphone</v>
      </c>
      <c r="H857" t="str">
        <f>VLOOKUP($B:$B,Products!$A:$D,3,FALSE)</f>
        <v>Electronics</v>
      </c>
      <c r="I857">
        <f>VLOOKUP($B:$B,Products!$A:$D,4,FALSE)</f>
        <v>4952</v>
      </c>
      <c r="J857" s="4">
        <f>VLOOKUP($A:$A,Sales!$B:$H,6,FALSE)</f>
        <v>45610</v>
      </c>
      <c r="K857" s="9">
        <f>VLOOKUP($A:$A,Sales!$B:$H,4,FALSE)</f>
        <v>4</v>
      </c>
      <c r="L857" s="5">
        <f t="shared" si="13"/>
        <v>19808</v>
      </c>
    </row>
    <row r="858" spans="1:12" x14ac:dyDescent="0.3">
      <c r="A858">
        <v>1209</v>
      </c>
      <c r="B858">
        <v>2022</v>
      </c>
      <c r="C858">
        <v>3013</v>
      </c>
      <c r="D858" t="str">
        <f>VLOOKUP('Sales table'!$A:$A,Customers!$A:$H,2,FALSE)</f>
        <v>Emily Rodriguez</v>
      </c>
      <c r="E858">
        <f>VLOOKUP('Sales table'!$A:$A,Customers!$A:$H,4,FALSE)</f>
        <v>20</v>
      </c>
      <c r="F858" t="str">
        <f>VLOOKUP('Sales table'!$A:$A,Customers!$A:$H,5,FALSE)</f>
        <v>Kolkata</v>
      </c>
      <c r="G858" t="str">
        <f>VLOOKUP($B:$B,Products!$A:$D,2,FALSE)</f>
        <v>Home Decor Statue</v>
      </c>
      <c r="H858" t="str">
        <f>VLOOKUP($B:$B,Products!$A:$D,3,FALSE)</f>
        <v>Home Decor</v>
      </c>
      <c r="I858">
        <f>VLOOKUP($B:$B,Products!$A:$D,4,FALSE)</f>
        <v>17149</v>
      </c>
      <c r="J858" s="4">
        <f>VLOOKUP($A:$A,Sales!$B:$H,6,FALSE)</f>
        <v>45592</v>
      </c>
      <c r="K858" s="9">
        <f>VLOOKUP($A:$A,Sales!$B:$H,4,FALSE)</f>
        <v>2</v>
      </c>
      <c r="L858" s="5">
        <f t="shared" si="13"/>
        <v>34298</v>
      </c>
    </row>
    <row r="859" spans="1:12" x14ac:dyDescent="0.3">
      <c r="A859">
        <v>1208</v>
      </c>
      <c r="B859">
        <v>2022</v>
      </c>
      <c r="C859">
        <v>3033</v>
      </c>
      <c r="D859" t="str">
        <f>VLOOKUP('Sales table'!$A:$A,Customers!$A:$H,2,FALSE)</f>
        <v>Kelly Lee</v>
      </c>
      <c r="E859">
        <f>VLOOKUP('Sales table'!$A:$A,Customers!$A:$H,4,FALSE)</f>
        <v>47</v>
      </c>
      <c r="F859" t="str">
        <f>VLOOKUP('Sales table'!$A:$A,Customers!$A:$H,5,FALSE)</f>
        <v>Delhi</v>
      </c>
      <c r="G859" t="str">
        <f>VLOOKUP($B:$B,Products!$A:$D,2,FALSE)</f>
        <v>Home Decor Statue</v>
      </c>
      <c r="H859" t="str">
        <f>VLOOKUP($B:$B,Products!$A:$D,3,FALSE)</f>
        <v>Home Decor</v>
      </c>
      <c r="I859">
        <f>VLOOKUP($B:$B,Products!$A:$D,4,FALSE)</f>
        <v>17149</v>
      </c>
      <c r="J859" s="4">
        <f>VLOOKUP($A:$A,Sales!$B:$H,6,FALSE)</f>
        <v>45597</v>
      </c>
      <c r="K859" s="9">
        <f>VLOOKUP($A:$A,Sales!$B:$H,4,FALSE)</f>
        <v>3</v>
      </c>
      <c r="L859" s="5">
        <f t="shared" si="13"/>
        <v>51447</v>
      </c>
    </row>
    <row r="860" spans="1:12" x14ac:dyDescent="0.3">
      <c r="A860">
        <v>1127</v>
      </c>
      <c r="B860">
        <v>2011</v>
      </c>
      <c r="C860">
        <v>3006</v>
      </c>
      <c r="D860" t="str">
        <f>VLOOKUP('Sales table'!$A:$A,Customers!$A:$H,2,FALSE)</f>
        <v>Tom Irwin</v>
      </c>
      <c r="E860">
        <f>VLOOKUP('Sales table'!$A:$A,Customers!$A:$H,4,FALSE)</f>
        <v>38</v>
      </c>
      <c r="F860" t="str">
        <f>VLOOKUP('Sales table'!$A:$A,Customers!$A:$H,5,FALSE)</f>
        <v>Delhi</v>
      </c>
      <c r="G860" t="str">
        <f>VLOOKUP($B:$B,Products!$A:$D,2,FALSE)</f>
        <v>Festive Thali</v>
      </c>
      <c r="H860" t="str">
        <f>VLOOKUP($B:$B,Products!$A:$D,3,FALSE)</f>
        <v>Other</v>
      </c>
      <c r="I860">
        <f>VLOOKUP($B:$B,Products!$A:$D,4,FALSE)</f>
        <v>7481</v>
      </c>
      <c r="J860" s="4">
        <f>VLOOKUP($A:$A,Sales!$B:$H,6,FALSE)</f>
        <v>45600</v>
      </c>
      <c r="K860" s="9">
        <f>VLOOKUP($A:$A,Sales!$B:$H,4,FALSE)</f>
        <v>4</v>
      </c>
      <c r="L860" s="5">
        <f t="shared" si="13"/>
        <v>29924</v>
      </c>
    </row>
    <row r="861" spans="1:12" x14ac:dyDescent="0.3">
      <c r="A861">
        <v>1242</v>
      </c>
      <c r="B861">
        <v>2008</v>
      </c>
      <c r="C861">
        <v>3026</v>
      </c>
      <c r="D861" t="str">
        <f>VLOOKUP('Sales table'!$A:$A,Customers!$A:$H,2,FALSE)</f>
        <v>Julie Gonzalez</v>
      </c>
      <c r="E861">
        <f>VLOOKUP('Sales table'!$A:$A,Customers!$A:$H,4,FALSE)</f>
        <v>23</v>
      </c>
      <c r="F861" t="str">
        <f>VLOOKUP('Sales table'!$A:$A,Customers!$A:$H,5,FALSE)</f>
        <v>Mumbai</v>
      </c>
      <c r="G861" t="str">
        <f>VLOOKUP($B:$B,Products!$A:$D,2,FALSE)</f>
        <v>Earthen Diyas</v>
      </c>
      <c r="H861" t="str">
        <f>VLOOKUP($B:$B,Products!$A:$D,3,FALSE)</f>
        <v>Home Decor</v>
      </c>
      <c r="I861">
        <f>VLOOKUP($B:$B,Products!$A:$D,4,FALSE)</f>
        <v>2136</v>
      </c>
      <c r="J861" s="4">
        <f>VLOOKUP($A:$A,Sales!$B:$H,6,FALSE)</f>
        <v>45577</v>
      </c>
      <c r="K861" s="9">
        <f>VLOOKUP($A:$A,Sales!$B:$H,4,FALSE)</f>
        <v>5</v>
      </c>
      <c r="L861" s="5">
        <f t="shared" si="13"/>
        <v>10680</v>
      </c>
    </row>
    <row r="862" spans="1:12" x14ac:dyDescent="0.3">
      <c r="A862">
        <v>1018</v>
      </c>
      <c r="B862">
        <v>2011</v>
      </c>
      <c r="C862">
        <v>3035</v>
      </c>
      <c r="D862" t="str">
        <f>VLOOKUP('Sales table'!$A:$A,Customers!$A:$H,2,FALSE)</f>
        <v>Mariah Kim</v>
      </c>
      <c r="E862">
        <f>VLOOKUP('Sales table'!$A:$A,Customers!$A:$H,4,FALSE)</f>
        <v>34</v>
      </c>
      <c r="F862" t="str">
        <f>VLOOKUP('Sales table'!$A:$A,Customers!$A:$H,5,FALSE)</f>
        <v>Mumbai</v>
      </c>
      <c r="G862" t="str">
        <f>VLOOKUP($B:$B,Products!$A:$D,2,FALSE)</f>
        <v>Festive Thali</v>
      </c>
      <c r="H862" t="str">
        <f>VLOOKUP($B:$B,Products!$A:$D,3,FALSE)</f>
        <v>Other</v>
      </c>
      <c r="I862">
        <f>VLOOKUP($B:$B,Products!$A:$D,4,FALSE)</f>
        <v>7481</v>
      </c>
      <c r="J862" s="4">
        <f>VLOOKUP($A:$A,Sales!$B:$H,6,FALSE)</f>
        <v>45610</v>
      </c>
      <c r="K862" s="9">
        <f>VLOOKUP($A:$A,Sales!$B:$H,4,FALSE)</f>
        <v>1</v>
      </c>
      <c r="L862" s="5">
        <f t="shared" si="13"/>
        <v>7481</v>
      </c>
    </row>
    <row r="863" spans="1:12" x14ac:dyDescent="0.3">
      <c r="A863">
        <v>1193</v>
      </c>
      <c r="B863">
        <v>2006</v>
      </c>
      <c r="C863">
        <v>3032</v>
      </c>
      <c r="D863" t="str">
        <f>VLOOKUP('Sales table'!$A:$A,Customers!$A:$H,2,FALSE)</f>
        <v>Margaret Schwartz</v>
      </c>
      <c r="E863">
        <f>VLOOKUP('Sales table'!$A:$A,Customers!$A:$H,4,FALSE)</f>
        <v>25</v>
      </c>
      <c r="F863" t="str">
        <f>VLOOKUP('Sales table'!$A:$A,Customers!$A:$H,5,FALSE)</f>
        <v>Mumbai</v>
      </c>
      <c r="G863" t="str">
        <f>VLOOKUP($B:$B,Products!$A:$D,2,FALSE)</f>
        <v>Crackers Pack</v>
      </c>
      <c r="H863" t="str">
        <f>VLOOKUP($B:$B,Products!$A:$D,3,FALSE)</f>
        <v>Crackers</v>
      </c>
      <c r="I863">
        <f>VLOOKUP($B:$B,Products!$A:$D,4,FALSE)</f>
        <v>12060</v>
      </c>
      <c r="J863" s="4">
        <f>VLOOKUP($A:$A,Sales!$B:$H,6,FALSE)</f>
        <v>45598</v>
      </c>
      <c r="K863" s="9">
        <f>VLOOKUP($A:$A,Sales!$B:$H,4,FALSE)</f>
        <v>5</v>
      </c>
      <c r="L863" s="5">
        <f t="shared" si="13"/>
        <v>60300</v>
      </c>
    </row>
    <row r="864" spans="1:12" x14ac:dyDescent="0.3">
      <c r="A864">
        <v>1196</v>
      </c>
      <c r="B864">
        <v>2017</v>
      </c>
      <c r="C864">
        <v>3002</v>
      </c>
      <c r="D864" t="str">
        <f>VLOOKUP('Sales table'!$A:$A,Customers!$A:$H,2,FALSE)</f>
        <v>Cynthia Martin</v>
      </c>
      <c r="E864">
        <f>VLOOKUP('Sales table'!$A:$A,Customers!$A:$H,4,FALSE)</f>
        <v>20</v>
      </c>
      <c r="F864" t="str">
        <f>VLOOKUP('Sales table'!$A:$A,Customers!$A:$H,5,FALSE)</f>
        <v>Hyderabad</v>
      </c>
      <c r="G864" t="str">
        <f>VLOOKUP($B:$B,Products!$A:$D,2,FALSE)</f>
        <v>Handmade Pottery</v>
      </c>
      <c r="H864" t="str">
        <f>VLOOKUP($B:$B,Products!$A:$D,3,FALSE)</f>
        <v>Home Decor</v>
      </c>
      <c r="I864">
        <f>VLOOKUP($B:$B,Products!$A:$D,4,FALSE)</f>
        <v>8186</v>
      </c>
      <c r="J864" s="4">
        <f>VLOOKUP($A:$A,Sales!$B:$H,6,FALSE)</f>
        <v>45611</v>
      </c>
      <c r="K864" s="9">
        <f>VLOOKUP($A:$A,Sales!$B:$H,4,FALSE)</f>
        <v>2</v>
      </c>
      <c r="L864" s="5">
        <f t="shared" si="13"/>
        <v>16372</v>
      </c>
    </row>
    <row r="865" spans="1:12" x14ac:dyDescent="0.3">
      <c r="A865">
        <v>1128</v>
      </c>
      <c r="B865">
        <v>2004</v>
      </c>
      <c r="C865">
        <v>3028</v>
      </c>
      <c r="D865" t="str">
        <f>VLOOKUP('Sales table'!$A:$A,Customers!$A:$H,2,FALSE)</f>
        <v>Thomas Pennington</v>
      </c>
      <c r="E865">
        <f>VLOOKUP('Sales table'!$A:$A,Customers!$A:$H,4,FALSE)</f>
        <v>49</v>
      </c>
      <c r="F865" t="str">
        <f>VLOOKUP('Sales table'!$A:$A,Customers!$A:$H,5,FALSE)</f>
        <v>Pune</v>
      </c>
      <c r="G865" t="str">
        <f>VLOOKUP($B:$B,Products!$A:$D,2,FALSE)</f>
        <v>Smartphone</v>
      </c>
      <c r="H865" t="str">
        <f>VLOOKUP($B:$B,Products!$A:$D,3,FALSE)</f>
        <v>Electronics</v>
      </c>
      <c r="I865">
        <f>VLOOKUP($B:$B,Products!$A:$D,4,FALSE)</f>
        <v>4952</v>
      </c>
      <c r="J865" s="4">
        <f>VLOOKUP($A:$A,Sales!$B:$H,6,FALSE)</f>
        <v>45613</v>
      </c>
      <c r="K865" s="9">
        <f>VLOOKUP($A:$A,Sales!$B:$H,4,FALSE)</f>
        <v>3</v>
      </c>
      <c r="L865" s="5">
        <f t="shared" si="13"/>
        <v>14856</v>
      </c>
    </row>
    <row r="866" spans="1:12" x14ac:dyDescent="0.3">
      <c r="A866">
        <v>1175</v>
      </c>
      <c r="B866">
        <v>2007</v>
      </c>
      <c r="C866">
        <v>3006</v>
      </c>
      <c r="D866" t="str">
        <f>VLOOKUP('Sales table'!$A:$A,Customers!$A:$H,2,FALSE)</f>
        <v>Jeffrey Smith</v>
      </c>
      <c r="E866">
        <f>VLOOKUP('Sales table'!$A:$A,Customers!$A:$H,4,FALSE)</f>
        <v>51</v>
      </c>
      <c r="F866" t="str">
        <f>VLOOKUP('Sales table'!$A:$A,Customers!$A:$H,5,FALSE)</f>
        <v>Kolkata</v>
      </c>
      <c r="G866" t="str">
        <f>VLOOKUP($B:$B,Products!$A:$D,2,FALSE)</f>
        <v>Gift Hamper</v>
      </c>
      <c r="H866" t="str">
        <f>VLOOKUP($B:$B,Products!$A:$D,3,FALSE)</f>
        <v>Sweets &amp; Gifts</v>
      </c>
      <c r="I866">
        <f>VLOOKUP($B:$B,Products!$A:$D,4,FALSE)</f>
        <v>3412</v>
      </c>
      <c r="J866" s="4">
        <f>VLOOKUP($A:$A,Sales!$B:$H,6,FALSE)</f>
        <v>45611</v>
      </c>
      <c r="K866" s="9">
        <f>VLOOKUP($A:$A,Sales!$B:$H,4,FALSE)</f>
        <v>4</v>
      </c>
      <c r="L866" s="5">
        <f t="shared" si="13"/>
        <v>13648</v>
      </c>
    </row>
    <row r="867" spans="1:12" x14ac:dyDescent="0.3">
      <c r="A867">
        <v>1078</v>
      </c>
      <c r="B867">
        <v>2001</v>
      </c>
      <c r="C867">
        <v>3001</v>
      </c>
      <c r="D867" t="str">
        <f>VLOOKUP('Sales table'!$A:$A,Customers!$A:$H,2,FALSE)</f>
        <v>Jerry Newman</v>
      </c>
      <c r="E867">
        <f>VLOOKUP('Sales table'!$A:$A,Customers!$A:$H,4,FALSE)</f>
        <v>19</v>
      </c>
      <c r="F867" t="str">
        <f>VLOOKUP('Sales table'!$A:$A,Customers!$A:$H,5,FALSE)</f>
        <v>Delhi</v>
      </c>
      <c r="G867" t="str">
        <f>VLOOKUP($B:$B,Products!$A:$D,2,FALSE)</f>
        <v>Sweets Box</v>
      </c>
      <c r="H867" t="str">
        <f>VLOOKUP($B:$B,Products!$A:$D,3,FALSE)</f>
        <v>Sweets &amp; Gifts</v>
      </c>
      <c r="I867">
        <f>VLOOKUP($B:$B,Products!$A:$D,4,FALSE)</f>
        <v>7228</v>
      </c>
      <c r="J867" s="4">
        <f>VLOOKUP($A:$A,Sales!$B:$H,6,FALSE)</f>
        <v>45610</v>
      </c>
      <c r="K867" s="9">
        <f>VLOOKUP($A:$A,Sales!$B:$H,4,FALSE)</f>
        <v>5</v>
      </c>
      <c r="L867" s="5">
        <f t="shared" si="13"/>
        <v>36140</v>
      </c>
    </row>
    <row r="868" spans="1:12" x14ac:dyDescent="0.3">
      <c r="A868">
        <v>1131</v>
      </c>
      <c r="B868">
        <v>2011</v>
      </c>
      <c r="C868">
        <v>3022</v>
      </c>
      <c r="D868" t="str">
        <f>VLOOKUP('Sales table'!$A:$A,Customers!$A:$H,2,FALSE)</f>
        <v>Michael Fletcher</v>
      </c>
      <c r="E868">
        <f>VLOOKUP('Sales table'!$A:$A,Customers!$A:$H,4,FALSE)</f>
        <v>46</v>
      </c>
      <c r="F868" t="str">
        <f>VLOOKUP('Sales table'!$A:$A,Customers!$A:$H,5,FALSE)</f>
        <v>Delhi</v>
      </c>
      <c r="G868" t="str">
        <f>VLOOKUP($B:$B,Products!$A:$D,2,FALSE)</f>
        <v>Festive Thali</v>
      </c>
      <c r="H868" t="str">
        <f>VLOOKUP($B:$B,Products!$A:$D,3,FALSE)</f>
        <v>Other</v>
      </c>
      <c r="I868">
        <f>VLOOKUP($B:$B,Products!$A:$D,4,FALSE)</f>
        <v>7481</v>
      </c>
      <c r="J868" s="4">
        <f>VLOOKUP($A:$A,Sales!$B:$H,6,FALSE)</f>
        <v>45607</v>
      </c>
      <c r="K868" s="9">
        <f>VLOOKUP($A:$A,Sales!$B:$H,4,FALSE)</f>
        <v>1</v>
      </c>
      <c r="L868" s="5">
        <f t="shared" si="13"/>
        <v>7481</v>
      </c>
    </row>
    <row r="869" spans="1:12" x14ac:dyDescent="0.3">
      <c r="A869">
        <v>1276</v>
      </c>
      <c r="B869">
        <v>2002</v>
      </c>
      <c r="C869">
        <v>3029</v>
      </c>
      <c r="D869" t="str">
        <f>VLOOKUP('Sales table'!$A:$A,Customers!$A:$H,2,FALSE)</f>
        <v>Miss Tammy Cooper</v>
      </c>
      <c r="E869">
        <f>VLOOKUP('Sales table'!$A:$A,Customers!$A:$H,4,FALSE)</f>
        <v>42</v>
      </c>
      <c r="F869" t="str">
        <f>VLOOKUP('Sales table'!$A:$A,Customers!$A:$H,5,FALSE)</f>
        <v>Mumbai</v>
      </c>
      <c r="G869" t="str">
        <f>VLOOKUP($B:$B,Products!$A:$D,2,FALSE)</f>
        <v>Saree</v>
      </c>
      <c r="H869" t="str">
        <f>VLOOKUP($B:$B,Products!$A:$D,3,FALSE)</f>
        <v>Clothing</v>
      </c>
      <c r="I869">
        <f>VLOOKUP($B:$B,Products!$A:$D,4,FALSE)</f>
        <v>9534</v>
      </c>
      <c r="J869" s="4">
        <f>VLOOKUP($A:$A,Sales!$B:$H,6,FALSE)</f>
        <v>45611</v>
      </c>
      <c r="K869" s="9">
        <f>VLOOKUP($A:$A,Sales!$B:$H,4,FALSE)</f>
        <v>4</v>
      </c>
      <c r="L869" s="5">
        <f t="shared" si="13"/>
        <v>38136</v>
      </c>
    </row>
    <row r="870" spans="1:12" x14ac:dyDescent="0.3">
      <c r="A870">
        <v>1290</v>
      </c>
      <c r="B870">
        <v>2001</v>
      </c>
      <c r="C870">
        <v>3027</v>
      </c>
      <c r="D870" t="str">
        <f>VLOOKUP('Sales table'!$A:$A,Customers!$A:$H,2,FALSE)</f>
        <v>James Mclean</v>
      </c>
      <c r="E870">
        <f>VLOOKUP('Sales table'!$A:$A,Customers!$A:$H,4,FALSE)</f>
        <v>19</v>
      </c>
      <c r="F870" t="str">
        <f>VLOOKUP('Sales table'!$A:$A,Customers!$A:$H,5,FALSE)</f>
        <v>Chennai</v>
      </c>
      <c r="G870" t="str">
        <f>VLOOKUP($B:$B,Products!$A:$D,2,FALSE)</f>
        <v>Sweets Box</v>
      </c>
      <c r="H870" t="str">
        <f>VLOOKUP($B:$B,Products!$A:$D,3,FALSE)</f>
        <v>Sweets &amp; Gifts</v>
      </c>
      <c r="I870">
        <f>VLOOKUP($B:$B,Products!$A:$D,4,FALSE)</f>
        <v>7228</v>
      </c>
      <c r="J870" s="4">
        <f>VLOOKUP($A:$A,Sales!$B:$H,6,FALSE)</f>
        <v>45613</v>
      </c>
      <c r="K870" s="9">
        <f>VLOOKUP($A:$A,Sales!$B:$H,4,FALSE)</f>
        <v>4</v>
      </c>
      <c r="L870" s="5">
        <f t="shared" si="13"/>
        <v>28912</v>
      </c>
    </row>
    <row r="871" spans="1:12" x14ac:dyDescent="0.3">
      <c r="A871">
        <v>1259</v>
      </c>
      <c r="B871">
        <v>2024</v>
      </c>
      <c r="C871">
        <v>3023</v>
      </c>
      <c r="D871" t="str">
        <f>VLOOKUP('Sales table'!$A:$A,Customers!$A:$H,2,FALSE)</f>
        <v>Joshua Mccormick</v>
      </c>
      <c r="E871">
        <f>VLOOKUP('Sales table'!$A:$A,Customers!$A:$H,4,FALSE)</f>
        <v>63</v>
      </c>
      <c r="F871" t="str">
        <f>VLOOKUP('Sales table'!$A:$A,Customers!$A:$H,5,FALSE)</f>
        <v>Mumbai</v>
      </c>
      <c r="G871" t="str">
        <f>VLOOKUP($B:$B,Products!$A:$D,2,FALSE)</f>
        <v>Perfume Gift Set</v>
      </c>
      <c r="H871" t="str">
        <f>VLOOKUP($B:$B,Products!$A:$D,3,FALSE)</f>
        <v>Accessories</v>
      </c>
      <c r="I871">
        <f>VLOOKUP($B:$B,Products!$A:$D,4,FALSE)</f>
        <v>16272</v>
      </c>
      <c r="J871" s="4">
        <f>VLOOKUP($A:$A,Sales!$B:$H,6,FALSE)</f>
        <v>45585</v>
      </c>
      <c r="K871" s="9">
        <f>VLOOKUP($A:$A,Sales!$B:$H,4,FALSE)</f>
        <v>3</v>
      </c>
      <c r="L871" s="5">
        <f t="shared" si="13"/>
        <v>48816</v>
      </c>
    </row>
    <row r="872" spans="1:12" x14ac:dyDescent="0.3">
      <c r="A872">
        <v>1078</v>
      </c>
      <c r="B872">
        <v>2021</v>
      </c>
      <c r="C872">
        <v>3008</v>
      </c>
      <c r="D872" t="str">
        <f>VLOOKUP('Sales table'!$A:$A,Customers!$A:$H,2,FALSE)</f>
        <v>Jerry Newman</v>
      </c>
      <c r="E872">
        <f>VLOOKUP('Sales table'!$A:$A,Customers!$A:$H,4,FALSE)</f>
        <v>19</v>
      </c>
      <c r="F872" t="str">
        <f>VLOOKUP('Sales table'!$A:$A,Customers!$A:$H,5,FALSE)</f>
        <v>Delhi</v>
      </c>
      <c r="G872" t="str">
        <f>VLOOKUP($B:$B,Products!$A:$D,2,FALSE)</f>
        <v>Smartwatch</v>
      </c>
      <c r="H872" t="str">
        <f>VLOOKUP($B:$B,Products!$A:$D,3,FALSE)</f>
        <v>Electronics</v>
      </c>
      <c r="I872">
        <f>VLOOKUP($B:$B,Products!$A:$D,4,FALSE)</f>
        <v>17586</v>
      </c>
      <c r="J872" s="4">
        <f>VLOOKUP($A:$A,Sales!$B:$H,6,FALSE)</f>
        <v>45610</v>
      </c>
      <c r="K872" s="9">
        <f>VLOOKUP($A:$A,Sales!$B:$H,4,FALSE)</f>
        <v>5</v>
      </c>
      <c r="L872" s="5">
        <f t="shared" si="13"/>
        <v>87930</v>
      </c>
    </row>
    <row r="873" spans="1:12" x14ac:dyDescent="0.3">
      <c r="A873">
        <v>1171</v>
      </c>
      <c r="B873">
        <v>2011</v>
      </c>
      <c r="C873">
        <v>3035</v>
      </c>
      <c r="D873" t="str">
        <f>VLOOKUP('Sales table'!$A:$A,Customers!$A:$H,2,FALSE)</f>
        <v>Brandon Graves</v>
      </c>
      <c r="E873">
        <f>VLOOKUP('Sales table'!$A:$A,Customers!$A:$H,4,FALSE)</f>
        <v>43</v>
      </c>
      <c r="F873" t="str">
        <f>VLOOKUP('Sales table'!$A:$A,Customers!$A:$H,5,FALSE)</f>
        <v>Delhi</v>
      </c>
      <c r="G873" t="str">
        <f>VLOOKUP($B:$B,Products!$A:$D,2,FALSE)</f>
        <v>Festive Thali</v>
      </c>
      <c r="H873" t="str">
        <f>VLOOKUP($B:$B,Products!$A:$D,3,FALSE)</f>
        <v>Other</v>
      </c>
      <c r="I873">
        <f>VLOOKUP($B:$B,Products!$A:$D,4,FALSE)</f>
        <v>7481</v>
      </c>
      <c r="J873" s="4">
        <f>VLOOKUP($A:$A,Sales!$B:$H,6,FALSE)</f>
        <v>45616</v>
      </c>
      <c r="K873" s="9">
        <f>VLOOKUP($A:$A,Sales!$B:$H,4,FALSE)</f>
        <v>1</v>
      </c>
      <c r="L873" s="5">
        <f t="shared" si="13"/>
        <v>7481</v>
      </c>
    </row>
    <row r="874" spans="1:12" x14ac:dyDescent="0.3">
      <c r="A874">
        <v>1042</v>
      </c>
      <c r="B874">
        <v>2017</v>
      </c>
      <c r="C874">
        <v>3018</v>
      </c>
      <c r="D874" t="str">
        <f>VLOOKUP('Sales table'!$A:$A,Customers!$A:$H,2,FALSE)</f>
        <v>Robert Hall</v>
      </c>
      <c r="E874">
        <f>VLOOKUP('Sales table'!$A:$A,Customers!$A:$H,4,FALSE)</f>
        <v>24</v>
      </c>
      <c r="F874" t="str">
        <f>VLOOKUP('Sales table'!$A:$A,Customers!$A:$H,5,FALSE)</f>
        <v>Hyderabad</v>
      </c>
      <c r="G874" t="str">
        <f>VLOOKUP($B:$B,Products!$A:$D,2,FALSE)</f>
        <v>Handmade Pottery</v>
      </c>
      <c r="H874" t="str">
        <f>VLOOKUP($B:$B,Products!$A:$D,3,FALSE)</f>
        <v>Home Decor</v>
      </c>
      <c r="I874">
        <f>VLOOKUP($B:$B,Products!$A:$D,4,FALSE)</f>
        <v>8186</v>
      </c>
      <c r="J874" s="4">
        <f>VLOOKUP($A:$A,Sales!$B:$H,6,FALSE)</f>
        <v>45613</v>
      </c>
      <c r="K874" s="9">
        <f>VLOOKUP($A:$A,Sales!$B:$H,4,FALSE)</f>
        <v>1</v>
      </c>
      <c r="L874" s="5">
        <f t="shared" si="13"/>
        <v>8186</v>
      </c>
    </row>
    <row r="875" spans="1:12" x14ac:dyDescent="0.3">
      <c r="A875">
        <v>1212</v>
      </c>
      <c r="B875">
        <v>2025</v>
      </c>
      <c r="C875">
        <v>3025</v>
      </c>
      <c r="D875" t="str">
        <f>VLOOKUP('Sales table'!$A:$A,Customers!$A:$H,2,FALSE)</f>
        <v>Ashley Green</v>
      </c>
      <c r="E875">
        <f>VLOOKUP('Sales table'!$A:$A,Customers!$A:$H,4,FALSE)</f>
        <v>41</v>
      </c>
      <c r="F875" t="str">
        <f>VLOOKUP('Sales table'!$A:$A,Customers!$A:$H,5,FALSE)</f>
        <v>Hyderabad</v>
      </c>
      <c r="G875" t="str">
        <f>VLOOKUP($B:$B,Products!$A:$D,2,FALSE)</f>
        <v>Handbag</v>
      </c>
      <c r="H875" t="str">
        <f>VLOOKUP($B:$B,Products!$A:$D,3,FALSE)</f>
        <v>Accessories</v>
      </c>
      <c r="I875">
        <f>VLOOKUP($B:$B,Products!$A:$D,4,FALSE)</f>
        <v>17019</v>
      </c>
      <c r="J875" s="4">
        <f>VLOOKUP($A:$A,Sales!$B:$H,6,FALSE)</f>
        <v>45582</v>
      </c>
      <c r="K875" s="9">
        <f>VLOOKUP($A:$A,Sales!$B:$H,4,FALSE)</f>
        <v>4</v>
      </c>
      <c r="L875" s="5">
        <f t="shared" si="13"/>
        <v>68076</v>
      </c>
    </row>
    <row r="876" spans="1:12" x14ac:dyDescent="0.3">
      <c r="A876">
        <v>1001</v>
      </c>
      <c r="B876">
        <v>2008</v>
      </c>
      <c r="C876">
        <v>3032</v>
      </c>
      <c r="D876" t="str">
        <f>VLOOKUP('Sales table'!$A:$A,Customers!$A:$H,2,FALSE)</f>
        <v>Michael Mitchell</v>
      </c>
      <c r="E876">
        <f>VLOOKUP('Sales table'!$A:$A,Customers!$A:$H,4,FALSE)</f>
        <v>35</v>
      </c>
      <c r="F876" t="str">
        <f>VLOOKUP('Sales table'!$A:$A,Customers!$A:$H,5,FALSE)</f>
        <v>Mumbai</v>
      </c>
      <c r="G876" t="str">
        <f>VLOOKUP($B:$B,Products!$A:$D,2,FALSE)</f>
        <v>Earthen Diyas</v>
      </c>
      <c r="H876" t="str">
        <f>VLOOKUP($B:$B,Products!$A:$D,3,FALSE)</f>
        <v>Home Decor</v>
      </c>
      <c r="I876">
        <f>VLOOKUP($B:$B,Products!$A:$D,4,FALSE)</f>
        <v>2136</v>
      </c>
      <c r="J876" s="4">
        <f>VLOOKUP($A:$A,Sales!$B:$H,6,FALSE)</f>
        <v>45592</v>
      </c>
      <c r="K876" s="9">
        <f>VLOOKUP($A:$A,Sales!$B:$H,4,FALSE)</f>
        <v>1</v>
      </c>
      <c r="L876" s="5">
        <f t="shared" si="13"/>
        <v>2136</v>
      </c>
    </row>
    <row r="877" spans="1:12" x14ac:dyDescent="0.3">
      <c r="A877">
        <v>1290</v>
      </c>
      <c r="B877">
        <v>2011</v>
      </c>
      <c r="C877">
        <v>3022</v>
      </c>
      <c r="D877" t="str">
        <f>VLOOKUP('Sales table'!$A:$A,Customers!$A:$H,2,FALSE)</f>
        <v>James Mclean</v>
      </c>
      <c r="E877">
        <f>VLOOKUP('Sales table'!$A:$A,Customers!$A:$H,4,FALSE)</f>
        <v>19</v>
      </c>
      <c r="F877" t="str">
        <f>VLOOKUP('Sales table'!$A:$A,Customers!$A:$H,5,FALSE)</f>
        <v>Chennai</v>
      </c>
      <c r="G877" t="str">
        <f>VLOOKUP($B:$B,Products!$A:$D,2,FALSE)</f>
        <v>Festive Thali</v>
      </c>
      <c r="H877" t="str">
        <f>VLOOKUP($B:$B,Products!$A:$D,3,FALSE)</f>
        <v>Other</v>
      </c>
      <c r="I877">
        <f>VLOOKUP($B:$B,Products!$A:$D,4,FALSE)</f>
        <v>7481</v>
      </c>
      <c r="J877" s="4">
        <f>VLOOKUP($A:$A,Sales!$B:$H,6,FALSE)</f>
        <v>45613</v>
      </c>
      <c r="K877" s="9">
        <f>VLOOKUP($A:$A,Sales!$B:$H,4,FALSE)</f>
        <v>4</v>
      </c>
      <c r="L877" s="5">
        <f t="shared" si="13"/>
        <v>29924</v>
      </c>
    </row>
    <row r="878" spans="1:12" x14ac:dyDescent="0.3">
      <c r="A878">
        <v>1244</v>
      </c>
      <c r="B878">
        <v>2002</v>
      </c>
      <c r="C878">
        <v>3016</v>
      </c>
      <c r="D878" t="str">
        <f>VLOOKUP('Sales table'!$A:$A,Customers!$A:$H,2,FALSE)</f>
        <v>Leonard Kim</v>
      </c>
      <c r="E878">
        <f>VLOOKUP('Sales table'!$A:$A,Customers!$A:$H,4,FALSE)</f>
        <v>18</v>
      </c>
      <c r="F878" t="str">
        <f>VLOOKUP('Sales table'!$A:$A,Customers!$A:$H,5,FALSE)</f>
        <v>Hyderabad</v>
      </c>
      <c r="G878" t="str">
        <f>VLOOKUP($B:$B,Products!$A:$D,2,FALSE)</f>
        <v>Saree</v>
      </c>
      <c r="H878" t="str">
        <f>VLOOKUP($B:$B,Products!$A:$D,3,FALSE)</f>
        <v>Clothing</v>
      </c>
      <c r="I878">
        <f>VLOOKUP($B:$B,Products!$A:$D,4,FALSE)</f>
        <v>9534</v>
      </c>
      <c r="J878" s="4">
        <f>VLOOKUP($A:$A,Sales!$B:$H,6,FALSE)</f>
        <v>45589</v>
      </c>
      <c r="K878" s="9">
        <f>VLOOKUP($A:$A,Sales!$B:$H,4,FALSE)</f>
        <v>1</v>
      </c>
      <c r="L878" s="5">
        <f t="shared" si="13"/>
        <v>9534</v>
      </c>
    </row>
    <row r="879" spans="1:12" x14ac:dyDescent="0.3">
      <c r="A879">
        <v>1204</v>
      </c>
      <c r="B879">
        <v>2013</v>
      </c>
      <c r="C879">
        <v>3020</v>
      </c>
      <c r="D879" t="str">
        <f>VLOOKUP('Sales table'!$A:$A,Customers!$A:$H,2,FALSE)</f>
        <v>William Freeman</v>
      </c>
      <c r="E879">
        <f>VLOOKUP('Sales table'!$A:$A,Customers!$A:$H,4,FALSE)</f>
        <v>49</v>
      </c>
      <c r="F879" t="str">
        <f>VLOOKUP('Sales table'!$A:$A,Customers!$A:$H,5,FALSE)</f>
        <v>Mumbai</v>
      </c>
      <c r="G879" t="str">
        <f>VLOOKUP($B:$B,Products!$A:$D,2,FALSE)</f>
        <v>Silver Coin</v>
      </c>
      <c r="H879" t="str">
        <f>VLOOKUP($B:$B,Products!$A:$D,3,FALSE)</f>
        <v>Precious Items</v>
      </c>
      <c r="I879">
        <f>VLOOKUP($B:$B,Products!$A:$D,4,FALSE)</f>
        <v>11845</v>
      </c>
      <c r="J879" s="4">
        <f>VLOOKUP($A:$A,Sales!$B:$H,6,FALSE)</f>
        <v>45582</v>
      </c>
      <c r="K879" s="9">
        <f>VLOOKUP($A:$A,Sales!$B:$H,4,FALSE)</f>
        <v>3</v>
      </c>
      <c r="L879" s="5">
        <f t="shared" si="13"/>
        <v>35535</v>
      </c>
    </row>
    <row r="880" spans="1:12" x14ac:dyDescent="0.3">
      <c r="A880">
        <v>1108</v>
      </c>
      <c r="B880">
        <v>2003</v>
      </c>
      <c r="C880">
        <v>3001</v>
      </c>
      <c r="D880" t="str">
        <f>VLOOKUP('Sales table'!$A:$A,Customers!$A:$H,2,FALSE)</f>
        <v>Briana Jordan</v>
      </c>
      <c r="E880">
        <f>VLOOKUP('Sales table'!$A:$A,Customers!$A:$H,4,FALSE)</f>
        <v>39</v>
      </c>
      <c r="F880" t="str">
        <f>VLOOKUP('Sales table'!$A:$A,Customers!$A:$H,5,FALSE)</f>
        <v>Hyderabad</v>
      </c>
      <c r="G880" t="str">
        <f>VLOOKUP($B:$B,Products!$A:$D,2,FALSE)</f>
        <v>Kurta</v>
      </c>
      <c r="H880" t="str">
        <f>VLOOKUP($B:$B,Products!$A:$D,3,FALSE)</f>
        <v>Clothing</v>
      </c>
      <c r="I880">
        <f>VLOOKUP($B:$B,Products!$A:$D,4,FALSE)</f>
        <v>13241</v>
      </c>
      <c r="J880" s="4">
        <f>VLOOKUP($A:$A,Sales!$B:$H,6,FALSE)</f>
        <v>45598</v>
      </c>
      <c r="K880" s="9">
        <f>VLOOKUP($A:$A,Sales!$B:$H,4,FALSE)</f>
        <v>5</v>
      </c>
      <c r="L880" s="5">
        <f t="shared" si="13"/>
        <v>66205</v>
      </c>
    </row>
    <row r="881" spans="1:12" x14ac:dyDescent="0.3">
      <c r="A881">
        <v>1081</v>
      </c>
      <c r="B881">
        <v>2010</v>
      </c>
      <c r="C881">
        <v>3028</v>
      </c>
      <c r="D881" t="str">
        <f>VLOOKUP('Sales table'!$A:$A,Customers!$A:$H,2,FALSE)</f>
        <v>Lori Cox</v>
      </c>
      <c r="E881">
        <f>VLOOKUP('Sales table'!$A:$A,Customers!$A:$H,4,FALSE)</f>
        <v>59</v>
      </c>
      <c r="F881" t="str">
        <f>VLOOKUP('Sales table'!$A:$A,Customers!$A:$H,5,FALSE)</f>
        <v>Mumbai</v>
      </c>
      <c r="G881" t="str">
        <f>VLOOKUP($B:$B,Products!$A:$D,2,FALSE)</f>
        <v>Chocolate Box</v>
      </c>
      <c r="H881" t="str">
        <f>VLOOKUP($B:$B,Products!$A:$D,3,FALSE)</f>
        <v>Sweets &amp; Gifts</v>
      </c>
      <c r="I881">
        <f>VLOOKUP($B:$B,Products!$A:$D,4,FALSE)</f>
        <v>17909</v>
      </c>
      <c r="J881" s="4">
        <f>VLOOKUP($A:$A,Sales!$B:$H,6,FALSE)</f>
        <v>45598</v>
      </c>
      <c r="K881" s="9">
        <f>VLOOKUP($A:$A,Sales!$B:$H,4,FALSE)</f>
        <v>4</v>
      </c>
      <c r="L881" s="5">
        <f t="shared" si="13"/>
        <v>71636</v>
      </c>
    </row>
    <row r="882" spans="1:12" x14ac:dyDescent="0.3">
      <c r="A882">
        <v>1294</v>
      </c>
      <c r="B882">
        <v>2019</v>
      </c>
      <c r="C882">
        <v>3034</v>
      </c>
      <c r="D882" t="str">
        <f>VLOOKUP('Sales table'!$A:$A,Customers!$A:$H,2,FALSE)</f>
        <v>Nathaniel Beck</v>
      </c>
      <c r="E882">
        <f>VLOOKUP('Sales table'!$A:$A,Customers!$A:$H,4,FALSE)</f>
        <v>36</v>
      </c>
      <c r="F882" t="str">
        <f>VLOOKUP('Sales table'!$A:$A,Customers!$A:$H,5,FALSE)</f>
        <v>Kolkata</v>
      </c>
      <c r="G882" t="str">
        <f>VLOOKUP($B:$B,Products!$A:$D,2,FALSE)</f>
        <v>Designer Kurti</v>
      </c>
      <c r="H882" t="str">
        <f>VLOOKUP($B:$B,Products!$A:$D,3,FALSE)</f>
        <v>Clothing</v>
      </c>
      <c r="I882">
        <f>VLOOKUP($B:$B,Products!$A:$D,4,FALSE)</f>
        <v>13620</v>
      </c>
      <c r="J882" s="4">
        <f>VLOOKUP($A:$A,Sales!$B:$H,6,FALSE)</f>
        <v>45585</v>
      </c>
      <c r="K882" s="9">
        <f>VLOOKUP($A:$A,Sales!$B:$H,4,FALSE)</f>
        <v>5</v>
      </c>
      <c r="L882" s="5">
        <f t="shared" si="13"/>
        <v>68100</v>
      </c>
    </row>
    <row r="883" spans="1:12" x14ac:dyDescent="0.3">
      <c r="A883">
        <v>1152</v>
      </c>
      <c r="B883">
        <v>2005</v>
      </c>
      <c r="C883">
        <v>3014</v>
      </c>
      <c r="D883" t="str">
        <f>VLOOKUP('Sales table'!$A:$A,Customers!$A:$H,2,FALSE)</f>
        <v>Randy Harrell</v>
      </c>
      <c r="E883">
        <f>VLOOKUP('Sales table'!$A:$A,Customers!$A:$H,4,FALSE)</f>
        <v>55</v>
      </c>
      <c r="F883" t="str">
        <f>VLOOKUP('Sales table'!$A:$A,Customers!$A:$H,5,FALSE)</f>
        <v>Delhi</v>
      </c>
      <c r="G883" t="str">
        <f>VLOOKUP($B:$B,Products!$A:$D,2,FALSE)</f>
        <v>LED Lamp</v>
      </c>
      <c r="H883" t="str">
        <f>VLOOKUP($B:$B,Products!$A:$D,3,FALSE)</f>
        <v>Home Decor</v>
      </c>
      <c r="I883">
        <f>VLOOKUP($B:$B,Products!$A:$D,4,FALSE)</f>
        <v>3828</v>
      </c>
      <c r="J883" s="4">
        <f>VLOOKUP($A:$A,Sales!$B:$H,6,FALSE)</f>
        <v>45598</v>
      </c>
      <c r="K883" s="9">
        <f>VLOOKUP($A:$A,Sales!$B:$H,4,FALSE)</f>
        <v>4</v>
      </c>
      <c r="L883" s="5">
        <f t="shared" si="13"/>
        <v>15312</v>
      </c>
    </row>
    <row r="884" spans="1:12" x14ac:dyDescent="0.3">
      <c r="A884">
        <v>1122</v>
      </c>
      <c r="B884">
        <v>2019</v>
      </c>
      <c r="C884">
        <v>3023</v>
      </c>
      <c r="D884" t="str">
        <f>VLOOKUP('Sales table'!$A:$A,Customers!$A:$H,2,FALSE)</f>
        <v>Tammy Dean</v>
      </c>
      <c r="E884">
        <f>VLOOKUP('Sales table'!$A:$A,Customers!$A:$H,4,FALSE)</f>
        <v>59</v>
      </c>
      <c r="F884" t="str">
        <f>VLOOKUP('Sales table'!$A:$A,Customers!$A:$H,5,FALSE)</f>
        <v>Delhi</v>
      </c>
      <c r="G884" t="str">
        <f>VLOOKUP($B:$B,Products!$A:$D,2,FALSE)</f>
        <v>Designer Kurti</v>
      </c>
      <c r="H884" t="str">
        <f>VLOOKUP($B:$B,Products!$A:$D,3,FALSE)</f>
        <v>Clothing</v>
      </c>
      <c r="I884">
        <f>VLOOKUP($B:$B,Products!$A:$D,4,FALSE)</f>
        <v>13620</v>
      </c>
      <c r="J884" s="4">
        <f>VLOOKUP($A:$A,Sales!$B:$H,6,FALSE)</f>
        <v>45595</v>
      </c>
      <c r="K884" s="9">
        <f>VLOOKUP($A:$A,Sales!$B:$H,4,FALSE)</f>
        <v>4</v>
      </c>
      <c r="L884" s="5">
        <f t="shared" si="13"/>
        <v>54480</v>
      </c>
    </row>
    <row r="885" spans="1:12" x14ac:dyDescent="0.3">
      <c r="A885">
        <v>1186</v>
      </c>
      <c r="B885">
        <v>2011</v>
      </c>
      <c r="C885">
        <v>3015</v>
      </c>
      <c r="D885" t="str">
        <f>VLOOKUP('Sales table'!$A:$A,Customers!$A:$H,2,FALSE)</f>
        <v>Molly Hansen</v>
      </c>
      <c r="E885">
        <f>VLOOKUP('Sales table'!$A:$A,Customers!$A:$H,4,FALSE)</f>
        <v>50</v>
      </c>
      <c r="F885" t="str">
        <f>VLOOKUP('Sales table'!$A:$A,Customers!$A:$H,5,FALSE)</f>
        <v>Chennai</v>
      </c>
      <c r="G885" t="str">
        <f>VLOOKUP($B:$B,Products!$A:$D,2,FALSE)</f>
        <v>Festive Thali</v>
      </c>
      <c r="H885" t="str">
        <f>VLOOKUP($B:$B,Products!$A:$D,3,FALSE)</f>
        <v>Other</v>
      </c>
      <c r="I885">
        <f>VLOOKUP($B:$B,Products!$A:$D,4,FALSE)</f>
        <v>7481</v>
      </c>
      <c r="J885" s="4">
        <f>VLOOKUP($A:$A,Sales!$B:$H,6,FALSE)</f>
        <v>45604</v>
      </c>
      <c r="K885" s="9">
        <f>VLOOKUP($A:$A,Sales!$B:$H,4,FALSE)</f>
        <v>5</v>
      </c>
      <c r="L885" s="5">
        <f t="shared" si="13"/>
        <v>37405</v>
      </c>
    </row>
    <row r="886" spans="1:12" x14ac:dyDescent="0.3">
      <c r="A886">
        <v>1162</v>
      </c>
      <c r="B886">
        <v>2009</v>
      </c>
      <c r="C886">
        <v>3032</v>
      </c>
      <c r="D886" t="str">
        <f>VLOOKUP('Sales table'!$A:$A,Customers!$A:$H,2,FALSE)</f>
        <v>Jamie Jarvis</v>
      </c>
      <c r="E886">
        <f>VLOOKUP('Sales table'!$A:$A,Customers!$A:$H,4,FALSE)</f>
        <v>38</v>
      </c>
      <c r="F886" t="str">
        <f>VLOOKUP('Sales table'!$A:$A,Customers!$A:$H,5,FALSE)</f>
        <v>Kolkata</v>
      </c>
      <c r="G886" t="str">
        <f>VLOOKUP($B:$B,Products!$A:$D,2,FALSE)</f>
        <v>Bluetooth Speaker</v>
      </c>
      <c r="H886" t="str">
        <f>VLOOKUP($B:$B,Products!$A:$D,3,FALSE)</f>
        <v>Electronics</v>
      </c>
      <c r="I886">
        <f>VLOOKUP($B:$B,Products!$A:$D,4,FALSE)</f>
        <v>11047</v>
      </c>
      <c r="J886" s="4">
        <f>VLOOKUP($A:$A,Sales!$B:$H,6,FALSE)</f>
        <v>45586</v>
      </c>
      <c r="K886" s="9">
        <f>VLOOKUP($A:$A,Sales!$B:$H,4,FALSE)</f>
        <v>5</v>
      </c>
      <c r="L886" s="5">
        <f t="shared" si="13"/>
        <v>55235</v>
      </c>
    </row>
    <row r="887" spans="1:12" x14ac:dyDescent="0.3">
      <c r="A887">
        <v>1204</v>
      </c>
      <c r="B887">
        <v>2001</v>
      </c>
      <c r="C887">
        <v>3035</v>
      </c>
      <c r="D887" t="str">
        <f>VLOOKUP('Sales table'!$A:$A,Customers!$A:$H,2,FALSE)</f>
        <v>William Freeman</v>
      </c>
      <c r="E887">
        <f>VLOOKUP('Sales table'!$A:$A,Customers!$A:$H,4,FALSE)</f>
        <v>49</v>
      </c>
      <c r="F887" t="str">
        <f>VLOOKUP('Sales table'!$A:$A,Customers!$A:$H,5,FALSE)</f>
        <v>Mumbai</v>
      </c>
      <c r="G887" t="str">
        <f>VLOOKUP($B:$B,Products!$A:$D,2,FALSE)</f>
        <v>Sweets Box</v>
      </c>
      <c r="H887" t="str">
        <f>VLOOKUP($B:$B,Products!$A:$D,3,FALSE)</f>
        <v>Sweets &amp; Gifts</v>
      </c>
      <c r="I887">
        <f>VLOOKUP($B:$B,Products!$A:$D,4,FALSE)</f>
        <v>7228</v>
      </c>
      <c r="J887" s="4">
        <f>VLOOKUP($A:$A,Sales!$B:$H,6,FALSE)</f>
        <v>45582</v>
      </c>
      <c r="K887" s="9">
        <f>VLOOKUP($A:$A,Sales!$B:$H,4,FALSE)</f>
        <v>3</v>
      </c>
      <c r="L887" s="5">
        <f t="shared" si="13"/>
        <v>21684</v>
      </c>
    </row>
    <row r="888" spans="1:12" x14ac:dyDescent="0.3">
      <c r="A888">
        <v>1170</v>
      </c>
      <c r="B888">
        <v>2007</v>
      </c>
      <c r="C888">
        <v>3025</v>
      </c>
      <c r="D888" t="str">
        <f>VLOOKUP('Sales table'!$A:$A,Customers!$A:$H,2,FALSE)</f>
        <v>Gerald Sanders</v>
      </c>
      <c r="E888">
        <f>VLOOKUP('Sales table'!$A:$A,Customers!$A:$H,4,FALSE)</f>
        <v>52</v>
      </c>
      <c r="F888" t="str">
        <f>VLOOKUP('Sales table'!$A:$A,Customers!$A:$H,5,FALSE)</f>
        <v>Kolkata</v>
      </c>
      <c r="G888" t="str">
        <f>VLOOKUP($B:$B,Products!$A:$D,2,FALSE)</f>
        <v>Gift Hamper</v>
      </c>
      <c r="H888" t="str">
        <f>VLOOKUP($B:$B,Products!$A:$D,3,FALSE)</f>
        <v>Sweets &amp; Gifts</v>
      </c>
      <c r="I888">
        <f>VLOOKUP($B:$B,Products!$A:$D,4,FALSE)</f>
        <v>3412</v>
      </c>
      <c r="J888" s="4">
        <f>VLOOKUP($A:$A,Sales!$B:$H,6,FALSE)</f>
        <v>45600</v>
      </c>
      <c r="K888" s="9">
        <f>VLOOKUP($A:$A,Sales!$B:$H,4,FALSE)</f>
        <v>4</v>
      </c>
      <c r="L888" s="5">
        <f t="shared" si="13"/>
        <v>13648</v>
      </c>
    </row>
    <row r="889" spans="1:12" x14ac:dyDescent="0.3">
      <c r="A889">
        <v>1083</v>
      </c>
      <c r="B889">
        <v>2014</v>
      </c>
      <c r="C889">
        <v>3021</v>
      </c>
      <c r="D889" t="str">
        <f>VLOOKUP('Sales table'!$A:$A,Customers!$A:$H,2,FALSE)</f>
        <v>James Barrera</v>
      </c>
      <c r="E889">
        <f>VLOOKUP('Sales table'!$A:$A,Customers!$A:$H,4,FALSE)</f>
        <v>31</v>
      </c>
      <c r="F889" t="str">
        <f>VLOOKUP('Sales table'!$A:$A,Customers!$A:$H,5,FALSE)</f>
        <v>Pune</v>
      </c>
      <c r="G889" t="str">
        <f>VLOOKUP($B:$B,Products!$A:$D,2,FALSE)</f>
        <v>Gold Coin</v>
      </c>
      <c r="H889" t="str">
        <f>VLOOKUP($B:$B,Products!$A:$D,3,FALSE)</f>
        <v>Precious Items</v>
      </c>
      <c r="I889">
        <f>VLOOKUP($B:$B,Products!$A:$D,4,FALSE)</f>
        <v>13823</v>
      </c>
      <c r="J889" s="4">
        <f>VLOOKUP($A:$A,Sales!$B:$H,6,FALSE)</f>
        <v>45593</v>
      </c>
      <c r="K889" s="9">
        <f>VLOOKUP($A:$A,Sales!$B:$H,4,FALSE)</f>
        <v>4</v>
      </c>
      <c r="L889" s="5">
        <f t="shared" si="13"/>
        <v>55292</v>
      </c>
    </row>
    <row r="890" spans="1:12" x14ac:dyDescent="0.3">
      <c r="A890">
        <v>1172</v>
      </c>
      <c r="B890">
        <v>2025</v>
      </c>
      <c r="C890">
        <v>3024</v>
      </c>
      <c r="D890" t="str">
        <f>VLOOKUP('Sales table'!$A:$A,Customers!$A:$H,2,FALSE)</f>
        <v>Angela Rivera</v>
      </c>
      <c r="E890">
        <f>VLOOKUP('Sales table'!$A:$A,Customers!$A:$H,4,FALSE)</f>
        <v>44</v>
      </c>
      <c r="F890" t="str">
        <f>VLOOKUP('Sales table'!$A:$A,Customers!$A:$H,5,FALSE)</f>
        <v>Mumbai</v>
      </c>
      <c r="G890" t="str">
        <f>VLOOKUP($B:$B,Products!$A:$D,2,FALSE)</f>
        <v>Handbag</v>
      </c>
      <c r="H890" t="str">
        <f>VLOOKUP($B:$B,Products!$A:$D,3,FALSE)</f>
        <v>Accessories</v>
      </c>
      <c r="I890">
        <f>VLOOKUP($B:$B,Products!$A:$D,4,FALSE)</f>
        <v>17019</v>
      </c>
      <c r="J890" s="4">
        <f>VLOOKUP($A:$A,Sales!$B:$H,6,FALSE)</f>
        <v>45587</v>
      </c>
      <c r="K890" s="9">
        <f>VLOOKUP($A:$A,Sales!$B:$H,4,FALSE)</f>
        <v>4</v>
      </c>
      <c r="L890" s="5">
        <f t="shared" si="13"/>
        <v>68076</v>
      </c>
    </row>
    <row r="891" spans="1:12" x14ac:dyDescent="0.3">
      <c r="A891">
        <v>1012</v>
      </c>
      <c r="B891">
        <v>2010</v>
      </c>
      <c r="C891">
        <v>3002</v>
      </c>
      <c r="D891" t="str">
        <f>VLOOKUP('Sales table'!$A:$A,Customers!$A:$H,2,FALSE)</f>
        <v>John Dunlap</v>
      </c>
      <c r="E891">
        <f>VLOOKUP('Sales table'!$A:$A,Customers!$A:$H,4,FALSE)</f>
        <v>52</v>
      </c>
      <c r="F891" t="str">
        <f>VLOOKUP('Sales table'!$A:$A,Customers!$A:$H,5,FALSE)</f>
        <v>Delhi</v>
      </c>
      <c r="G891" t="str">
        <f>VLOOKUP($B:$B,Products!$A:$D,2,FALSE)</f>
        <v>Chocolate Box</v>
      </c>
      <c r="H891" t="str">
        <f>VLOOKUP($B:$B,Products!$A:$D,3,FALSE)</f>
        <v>Sweets &amp; Gifts</v>
      </c>
      <c r="I891">
        <f>VLOOKUP($B:$B,Products!$A:$D,4,FALSE)</f>
        <v>17909</v>
      </c>
      <c r="J891" s="4">
        <f>VLOOKUP($A:$A,Sales!$B:$H,6,FALSE)</f>
        <v>45601</v>
      </c>
      <c r="K891" s="9">
        <f>VLOOKUP($A:$A,Sales!$B:$H,4,FALSE)</f>
        <v>2</v>
      </c>
      <c r="L891" s="5">
        <f t="shared" si="13"/>
        <v>35818</v>
      </c>
    </row>
    <row r="892" spans="1:12" x14ac:dyDescent="0.3">
      <c r="A892">
        <v>1290</v>
      </c>
      <c r="B892">
        <v>2022</v>
      </c>
      <c r="C892">
        <v>3026</v>
      </c>
      <c r="D892" t="str">
        <f>VLOOKUP('Sales table'!$A:$A,Customers!$A:$H,2,FALSE)</f>
        <v>James Mclean</v>
      </c>
      <c r="E892">
        <f>VLOOKUP('Sales table'!$A:$A,Customers!$A:$H,4,FALSE)</f>
        <v>19</v>
      </c>
      <c r="F892" t="str">
        <f>VLOOKUP('Sales table'!$A:$A,Customers!$A:$H,5,FALSE)</f>
        <v>Chennai</v>
      </c>
      <c r="G892" t="str">
        <f>VLOOKUP($B:$B,Products!$A:$D,2,FALSE)</f>
        <v>Home Decor Statue</v>
      </c>
      <c r="H892" t="str">
        <f>VLOOKUP($B:$B,Products!$A:$D,3,FALSE)</f>
        <v>Home Decor</v>
      </c>
      <c r="I892">
        <f>VLOOKUP($B:$B,Products!$A:$D,4,FALSE)</f>
        <v>17149</v>
      </c>
      <c r="J892" s="4">
        <f>VLOOKUP($A:$A,Sales!$B:$H,6,FALSE)</f>
        <v>45613</v>
      </c>
      <c r="K892" s="9">
        <f>VLOOKUP($A:$A,Sales!$B:$H,4,FALSE)</f>
        <v>4</v>
      </c>
      <c r="L892" s="5">
        <f t="shared" si="13"/>
        <v>68596</v>
      </c>
    </row>
    <row r="893" spans="1:12" x14ac:dyDescent="0.3">
      <c r="A893">
        <v>1194</v>
      </c>
      <c r="B893">
        <v>2023</v>
      </c>
      <c r="C893">
        <v>3032</v>
      </c>
      <c r="D893" t="str">
        <f>VLOOKUP('Sales table'!$A:$A,Customers!$A:$H,2,FALSE)</f>
        <v>Danielle Davis</v>
      </c>
      <c r="E893">
        <f>VLOOKUP('Sales table'!$A:$A,Customers!$A:$H,4,FALSE)</f>
        <v>41</v>
      </c>
      <c r="F893" t="str">
        <f>VLOOKUP('Sales table'!$A:$A,Customers!$A:$H,5,FALSE)</f>
        <v>Chennai</v>
      </c>
      <c r="G893" t="str">
        <f>VLOOKUP($B:$B,Products!$A:$D,2,FALSE)</f>
        <v>Kids Wear</v>
      </c>
      <c r="H893" t="str">
        <f>VLOOKUP($B:$B,Products!$A:$D,3,FALSE)</f>
        <v>Clothing</v>
      </c>
      <c r="I893">
        <f>VLOOKUP($B:$B,Products!$A:$D,4,FALSE)</f>
        <v>4794</v>
      </c>
      <c r="J893" s="4">
        <f>VLOOKUP($A:$A,Sales!$B:$H,6,FALSE)</f>
        <v>45614</v>
      </c>
      <c r="K893" s="9">
        <f>VLOOKUP($A:$A,Sales!$B:$H,4,FALSE)</f>
        <v>2</v>
      </c>
      <c r="L893" s="5">
        <f t="shared" si="13"/>
        <v>9588</v>
      </c>
    </row>
    <row r="894" spans="1:12" x14ac:dyDescent="0.3">
      <c r="A894">
        <v>1273</v>
      </c>
      <c r="B894">
        <v>2012</v>
      </c>
      <c r="C894">
        <v>3030</v>
      </c>
      <c r="D894" t="str">
        <f>VLOOKUP('Sales table'!$A:$A,Customers!$A:$H,2,FALSE)</f>
        <v>Anthony Mayer</v>
      </c>
      <c r="E894">
        <f>VLOOKUP('Sales table'!$A:$A,Customers!$A:$H,4,FALSE)</f>
        <v>47</v>
      </c>
      <c r="F894" t="str">
        <f>VLOOKUP('Sales table'!$A:$A,Customers!$A:$H,5,FALSE)</f>
        <v>Pune</v>
      </c>
      <c r="G894" t="str">
        <f>VLOOKUP($B:$B,Products!$A:$D,2,FALSE)</f>
        <v>Wall Hanging</v>
      </c>
      <c r="H894" t="str">
        <f>VLOOKUP($B:$B,Products!$A:$D,3,FALSE)</f>
        <v>Home Decor</v>
      </c>
      <c r="I894">
        <f>VLOOKUP($B:$B,Products!$A:$D,4,FALSE)</f>
        <v>11867</v>
      </c>
      <c r="J894" s="4">
        <f>VLOOKUP($A:$A,Sales!$B:$H,6,FALSE)</f>
        <v>45581</v>
      </c>
      <c r="K894" s="9">
        <f>VLOOKUP($A:$A,Sales!$B:$H,4,FALSE)</f>
        <v>1</v>
      </c>
      <c r="L894" s="5">
        <f t="shared" si="13"/>
        <v>11867</v>
      </c>
    </row>
    <row r="895" spans="1:12" x14ac:dyDescent="0.3">
      <c r="A895">
        <v>1178</v>
      </c>
      <c r="B895">
        <v>2010</v>
      </c>
      <c r="C895">
        <v>3012</v>
      </c>
      <c r="D895" t="str">
        <f>VLOOKUP('Sales table'!$A:$A,Customers!$A:$H,2,FALSE)</f>
        <v>Kathleen Fox</v>
      </c>
      <c r="E895">
        <f>VLOOKUP('Sales table'!$A:$A,Customers!$A:$H,4,FALSE)</f>
        <v>55</v>
      </c>
      <c r="F895" t="str">
        <f>VLOOKUP('Sales table'!$A:$A,Customers!$A:$H,5,FALSE)</f>
        <v>Delhi</v>
      </c>
      <c r="G895" t="str">
        <f>VLOOKUP($B:$B,Products!$A:$D,2,FALSE)</f>
        <v>Chocolate Box</v>
      </c>
      <c r="H895" t="str">
        <f>VLOOKUP($B:$B,Products!$A:$D,3,FALSE)</f>
        <v>Sweets &amp; Gifts</v>
      </c>
      <c r="I895">
        <f>VLOOKUP($B:$B,Products!$A:$D,4,FALSE)</f>
        <v>17909</v>
      </c>
      <c r="J895" s="4">
        <f>VLOOKUP($A:$A,Sales!$B:$H,6,FALSE)</f>
        <v>45595</v>
      </c>
      <c r="K895" s="9">
        <f>VLOOKUP($A:$A,Sales!$B:$H,4,FALSE)</f>
        <v>3</v>
      </c>
      <c r="L895" s="5">
        <f t="shared" si="13"/>
        <v>53727</v>
      </c>
    </row>
    <row r="896" spans="1:12" x14ac:dyDescent="0.3">
      <c r="A896">
        <v>1195</v>
      </c>
      <c r="B896">
        <v>2001</v>
      </c>
      <c r="C896">
        <v>3012</v>
      </c>
      <c r="D896" t="str">
        <f>VLOOKUP('Sales table'!$A:$A,Customers!$A:$H,2,FALSE)</f>
        <v>Brianna Robertson</v>
      </c>
      <c r="E896">
        <f>VLOOKUP('Sales table'!$A:$A,Customers!$A:$H,4,FALSE)</f>
        <v>50</v>
      </c>
      <c r="F896" t="str">
        <f>VLOOKUP('Sales table'!$A:$A,Customers!$A:$H,5,FALSE)</f>
        <v>Kolkata</v>
      </c>
      <c r="G896" t="str">
        <f>VLOOKUP($B:$B,Products!$A:$D,2,FALSE)</f>
        <v>Sweets Box</v>
      </c>
      <c r="H896" t="str">
        <f>VLOOKUP($B:$B,Products!$A:$D,3,FALSE)</f>
        <v>Sweets &amp; Gifts</v>
      </c>
      <c r="I896">
        <f>VLOOKUP($B:$B,Products!$A:$D,4,FALSE)</f>
        <v>7228</v>
      </c>
      <c r="J896" s="4">
        <f>VLOOKUP($A:$A,Sales!$B:$H,6,FALSE)</f>
        <v>45580</v>
      </c>
      <c r="K896" s="9">
        <f>VLOOKUP($A:$A,Sales!$B:$H,4,FALSE)</f>
        <v>4</v>
      </c>
      <c r="L896" s="5">
        <f t="shared" si="13"/>
        <v>28912</v>
      </c>
    </row>
    <row r="897" spans="1:12" x14ac:dyDescent="0.3">
      <c r="A897">
        <v>1253</v>
      </c>
      <c r="B897">
        <v>2009</v>
      </c>
      <c r="C897">
        <v>3031</v>
      </c>
      <c r="D897" t="str">
        <f>VLOOKUP('Sales table'!$A:$A,Customers!$A:$H,2,FALSE)</f>
        <v>Javier Lewis</v>
      </c>
      <c r="E897">
        <f>VLOOKUP('Sales table'!$A:$A,Customers!$A:$H,4,FALSE)</f>
        <v>40</v>
      </c>
      <c r="F897" t="str">
        <f>VLOOKUP('Sales table'!$A:$A,Customers!$A:$H,5,FALSE)</f>
        <v>Bangalore</v>
      </c>
      <c r="G897" t="str">
        <f>VLOOKUP($B:$B,Products!$A:$D,2,FALSE)</f>
        <v>Bluetooth Speaker</v>
      </c>
      <c r="H897" t="str">
        <f>VLOOKUP($B:$B,Products!$A:$D,3,FALSE)</f>
        <v>Electronics</v>
      </c>
      <c r="I897">
        <f>VLOOKUP($B:$B,Products!$A:$D,4,FALSE)</f>
        <v>11047</v>
      </c>
      <c r="J897" s="4">
        <f>VLOOKUP($A:$A,Sales!$B:$H,6,FALSE)</f>
        <v>45612</v>
      </c>
      <c r="K897" s="9">
        <f>VLOOKUP($A:$A,Sales!$B:$H,4,FALSE)</f>
        <v>4</v>
      </c>
      <c r="L897" s="5">
        <f t="shared" si="13"/>
        <v>44188</v>
      </c>
    </row>
    <row r="898" spans="1:12" x14ac:dyDescent="0.3">
      <c r="A898">
        <v>1209</v>
      </c>
      <c r="B898">
        <v>2004</v>
      </c>
      <c r="C898">
        <v>3029</v>
      </c>
      <c r="D898" t="str">
        <f>VLOOKUP('Sales table'!$A:$A,Customers!$A:$H,2,FALSE)</f>
        <v>Emily Rodriguez</v>
      </c>
      <c r="E898">
        <f>VLOOKUP('Sales table'!$A:$A,Customers!$A:$H,4,FALSE)</f>
        <v>20</v>
      </c>
      <c r="F898" t="str">
        <f>VLOOKUP('Sales table'!$A:$A,Customers!$A:$H,5,FALSE)</f>
        <v>Kolkata</v>
      </c>
      <c r="G898" t="str">
        <f>VLOOKUP($B:$B,Products!$A:$D,2,FALSE)</f>
        <v>Smartphone</v>
      </c>
      <c r="H898" t="str">
        <f>VLOOKUP($B:$B,Products!$A:$D,3,FALSE)</f>
        <v>Electronics</v>
      </c>
      <c r="I898">
        <f>VLOOKUP($B:$B,Products!$A:$D,4,FALSE)</f>
        <v>4952</v>
      </c>
      <c r="J898" s="4">
        <f>VLOOKUP($A:$A,Sales!$B:$H,6,FALSE)</f>
        <v>45592</v>
      </c>
      <c r="K898" s="9">
        <f>VLOOKUP($A:$A,Sales!$B:$H,4,FALSE)</f>
        <v>2</v>
      </c>
      <c r="L898" s="5">
        <f t="shared" si="13"/>
        <v>9904</v>
      </c>
    </row>
    <row r="899" spans="1:12" x14ac:dyDescent="0.3">
      <c r="A899">
        <v>1135</v>
      </c>
      <c r="B899">
        <v>2011</v>
      </c>
      <c r="C899">
        <v>3007</v>
      </c>
      <c r="D899" t="str">
        <f>VLOOKUP('Sales table'!$A:$A,Customers!$A:$H,2,FALSE)</f>
        <v>Curtis Gonzales</v>
      </c>
      <c r="E899">
        <f>VLOOKUP('Sales table'!$A:$A,Customers!$A:$H,4,FALSE)</f>
        <v>47</v>
      </c>
      <c r="F899" t="str">
        <f>VLOOKUP('Sales table'!$A:$A,Customers!$A:$H,5,FALSE)</f>
        <v>Bangalore</v>
      </c>
      <c r="G899" t="str">
        <f>VLOOKUP($B:$B,Products!$A:$D,2,FALSE)</f>
        <v>Festive Thali</v>
      </c>
      <c r="H899" t="str">
        <f>VLOOKUP($B:$B,Products!$A:$D,3,FALSE)</f>
        <v>Other</v>
      </c>
      <c r="I899">
        <f>VLOOKUP($B:$B,Products!$A:$D,4,FALSE)</f>
        <v>7481</v>
      </c>
      <c r="J899" s="4">
        <f>VLOOKUP($A:$A,Sales!$B:$H,6,FALSE)</f>
        <v>45588</v>
      </c>
      <c r="K899" s="9">
        <f>VLOOKUP($A:$A,Sales!$B:$H,4,FALSE)</f>
        <v>5</v>
      </c>
      <c r="L899" s="5">
        <f t="shared" ref="L899:L962" si="14">I899*K899</f>
        <v>37405</v>
      </c>
    </row>
    <row r="900" spans="1:12" x14ac:dyDescent="0.3">
      <c r="A900">
        <v>1285</v>
      </c>
      <c r="B900">
        <v>2014</v>
      </c>
      <c r="C900">
        <v>3033</v>
      </c>
      <c r="D900" t="str">
        <f>VLOOKUP('Sales table'!$A:$A,Customers!$A:$H,2,FALSE)</f>
        <v>Deborah Hill</v>
      </c>
      <c r="E900">
        <f>VLOOKUP('Sales table'!$A:$A,Customers!$A:$H,4,FALSE)</f>
        <v>47</v>
      </c>
      <c r="F900" t="str">
        <f>VLOOKUP('Sales table'!$A:$A,Customers!$A:$H,5,FALSE)</f>
        <v>Delhi</v>
      </c>
      <c r="G900" t="str">
        <f>VLOOKUP($B:$B,Products!$A:$D,2,FALSE)</f>
        <v>Gold Coin</v>
      </c>
      <c r="H900" t="str">
        <f>VLOOKUP($B:$B,Products!$A:$D,3,FALSE)</f>
        <v>Precious Items</v>
      </c>
      <c r="I900">
        <f>VLOOKUP($B:$B,Products!$A:$D,4,FALSE)</f>
        <v>13823</v>
      </c>
      <c r="J900" s="4">
        <f>VLOOKUP($A:$A,Sales!$B:$H,6,FALSE)</f>
        <v>45603</v>
      </c>
      <c r="K900" s="9">
        <f>VLOOKUP($A:$A,Sales!$B:$H,4,FALSE)</f>
        <v>4</v>
      </c>
      <c r="L900" s="5">
        <f t="shared" si="14"/>
        <v>55292</v>
      </c>
    </row>
    <row r="901" spans="1:12" x14ac:dyDescent="0.3">
      <c r="A901">
        <v>1244</v>
      </c>
      <c r="B901">
        <v>2013</v>
      </c>
      <c r="C901">
        <v>3012</v>
      </c>
      <c r="D901" t="str">
        <f>VLOOKUP('Sales table'!$A:$A,Customers!$A:$H,2,FALSE)</f>
        <v>Leonard Kim</v>
      </c>
      <c r="E901">
        <f>VLOOKUP('Sales table'!$A:$A,Customers!$A:$H,4,FALSE)</f>
        <v>18</v>
      </c>
      <c r="F901" t="str">
        <f>VLOOKUP('Sales table'!$A:$A,Customers!$A:$H,5,FALSE)</f>
        <v>Hyderabad</v>
      </c>
      <c r="G901" t="str">
        <f>VLOOKUP($B:$B,Products!$A:$D,2,FALSE)</f>
        <v>Silver Coin</v>
      </c>
      <c r="H901" t="str">
        <f>VLOOKUP($B:$B,Products!$A:$D,3,FALSE)</f>
        <v>Precious Items</v>
      </c>
      <c r="I901">
        <f>VLOOKUP($B:$B,Products!$A:$D,4,FALSE)</f>
        <v>11845</v>
      </c>
      <c r="J901" s="4">
        <f>VLOOKUP($A:$A,Sales!$B:$H,6,FALSE)</f>
        <v>45589</v>
      </c>
      <c r="K901" s="9">
        <f>VLOOKUP($A:$A,Sales!$B:$H,4,FALSE)</f>
        <v>1</v>
      </c>
      <c r="L901" s="5">
        <f t="shared" si="14"/>
        <v>11845</v>
      </c>
    </row>
    <row r="902" spans="1:12" x14ac:dyDescent="0.3">
      <c r="A902">
        <v>1281</v>
      </c>
      <c r="B902">
        <v>2007</v>
      </c>
      <c r="C902">
        <v>3028</v>
      </c>
      <c r="D902" t="str">
        <f>VLOOKUP('Sales table'!$A:$A,Customers!$A:$H,2,FALSE)</f>
        <v>Kristen Richards</v>
      </c>
      <c r="E902">
        <f>VLOOKUP('Sales table'!$A:$A,Customers!$A:$H,4,FALSE)</f>
        <v>41</v>
      </c>
      <c r="F902" t="str">
        <f>VLOOKUP('Sales table'!$A:$A,Customers!$A:$H,5,FALSE)</f>
        <v>Mumbai</v>
      </c>
      <c r="G902" t="str">
        <f>VLOOKUP($B:$B,Products!$A:$D,2,FALSE)</f>
        <v>Gift Hamper</v>
      </c>
      <c r="H902" t="str">
        <f>VLOOKUP($B:$B,Products!$A:$D,3,FALSE)</f>
        <v>Sweets &amp; Gifts</v>
      </c>
      <c r="I902">
        <f>VLOOKUP($B:$B,Products!$A:$D,4,FALSE)</f>
        <v>3412</v>
      </c>
      <c r="J902" s="4">
        <f>VLOOKUP($A:$A,Sales!$B:$H,6,FALSE)</f>
        <v>45616</v>
      </c>
      <c r="K902" s="9">
        <f>VLOOKUP($A:$A,Sales!$B:$H,4,FALSE)</f>
        <v>5</v>
      </c>
      <c r="L902" s="5">
        <f t="shared" si="14"/>
        <v>17060</v>
      </c>
    </row>
    <row r="903" spans="1:12" x14ac:dyDescent="0.3">
      <c r="A903">
        <v>1148</v>
      </c>
      <c r="B903">
        <v>2001</v>
      </c>
      <c r="C903">
        <v>3035</v>
      </c>
      <c r="D903" t="str">
        <f>VLOOKUP('Sales table'!$A:$A,Customers!$A:$H,2,FALSE)</f>
        <v>Kathryn Le</v>
      </c>
      <c r="E903">
        <f>VLOOKUP('Sales table'!$A:$A,Customers!$A:$H,4,FALSE)</f>
        <v>41</v>
      </c>
      <c r="F903" t="str">
        <f>VLOOKUP('Sales table'!$A:$A,Customers!$A:$H,5,FALSE)</f>
        <v>Pune</v>
      </c>
      <c r="G903" t="str">
        <f>VLOOKUP($B:$B,Products!$A:$D,2,FALSE)</f>
        <v>Sweets Box</v>
      </c>
      <c r="H903" t="str">
        <f>VLOOKUP($B:$B,Products!$A:$D,3,FALSE)</f>
        <v>Sweets &amp; Gifts</v>
      </c>
      <c r="I903">
        <f>VLOOKUP($B:$B,Products!$A:$D,4,FALSE)</f>
        <v>7228</v>
      </c>
      <c r="J903" s="4">
        <f>VLOOKUP($A:$A,Sales!$B:$H,6,FALSE)</f>
        <v>45589</v>
      </c>
      <c r="K903" s="9">
        <f>VLOOKUP($A:$A,Sales!$B:$H,4,FALSE)</f>
        <v>2</v>
      </c>
      <c r="L903" s="5">
        <f t="shared" si="14"/>
        <v>14456</v>
      </c>
    </row>
    <row r="904" spans="1:12" x14ac:dyDescent="0.3">
      <c r="A904">
        <v>1099</v>
      </c>
      <c r="B904">
        <v>2013</v>
      </c>
      <c r="C904">
        <v>3012</v>
      </c>
      <c r="D904" t="str">
        <f>VLOOKUP('Sales table'!$A:$A,Customers!$A:$H,2,FALSE)</f>
        <v>Paul Chan</v>
      </c>
      <c r="E904">
        <f>VLOOKUP('Sales table'!$A:$A,Customers!$A:$H,4,FALSE)</f>
        <v>62</v>
      </c>
      <c r="F904" t="str">
        <f>VLOOKUP('Sales table'!$A:$A,Customers!$A:$H,5,FALSE)</f>
        <v>Hyderabad</v>
      </c>
      <c r="G904" t="str">
        <f>VLOOKUP($B:$B,Products!$A:$D,2,FALSE)</f>
        <v>Silver Coin</v>
      </c>
      <c r="H904" t="str">
        <f>VLOOKUP($B:$B,Products!$A:$D,3,FALSE)</f>
        <v>Precious Items</v>
      </c>
      <c r="I904">
        <f>VLOOKUP($B:$B,Products!$A:$D,4,FALSE)</f>
        <v>11845</v>
      </c>
      <c r="J904" s="4">
        <f>VLOOKUP($A:$A,Sales!$B:$H,6,FALSE)</f>
        <v>45601</v>
      </c>
      <c r="K904" s="9">
        <f>VLOOKUP($A:$A,Sales!$B:$H,4,FALSE)</f>
        <v>5</v>
      </c>
      <c r="L904" s="5">
        <f t="shared" si="14"/>
        <v>59225</v>
      </c>
    </row>
    <row r="905" spans="1:12" x14ac:dyDescent="0.3">
      <c r="A905">
        <v>1213</v>
      </c>
      <c r="B905">
        <v>2010</v>
      </c>
      <c r="C905">
        <v>3032</v>
      </c>
      <c r="D905" t="str">
        <f>VLOOKUP('Sales table'!$A:$A,Customers!$A:$H,2,FALSE)</f>
        <v>Michael Compton</v>
      </c>
      <c r="E905">
        <f>VLOOKUP('Sales table'!$A:$A,Customers!$A:$H,4,FALSE)</f>
        <v>55</v>
      </c>
      <c r="F905" t="str">
        <f>VLOOKUP('Sales table'!$A:$A,Customers!$A:$H,5,FALSE)</f>
        <v>Mumbai</v>
      </c>
      <c r="G905" t="str">
        <f>VLOOKUP($B:$B,Products!$A:$D,2,FALSE)</f>
        <v>Chocolate Box</v>
      </c>
      <c r="H905" t="str">
        <f>VLOOKUP($B:$B,Products!$A:$D,3,FALSE)</f>
        <v>Sweets &amp; Gifts</v>
      </c>
      <c r="I905">
        <f>VLOOKUP($B:$B,Products!$A:$D,4,FALSE)</f>
        <v>17909</v>
      </c>
      <c r="J905" s="4">
        <f>VLOOKUP($A:$A,Sales!$B:$H,6,FALSE)</f>
        <v>45615</v>
      </c>
      <c r="K905" s="9">
        <f>VLOOKUP($A:$A,Sales!$B:$H,4,FALSE)</f>
        <v>1</v>
      </c>
      <c r="L905" s="5">
        <f t="shared" si="14"/>
        <v>17909</v>
      </c>
    </row>
    <row r="906" spans="1:12" x14ac:dyDescent="0.3">
      <c r="A906">
        <v>1069</v>
      </c>
      <c r="B906">
        <v>2020</v>
      </c>
      <c r="C906">
        <v>3031</v>
      </c>
      <c r="D906" t="str">
        <f>VLOOKUP('Sales table'!$A:$A,Customers!$A:$H,2,FALSE)</f>
        <v>Calvin Wright</v>
      </c>
      <c r="E906">
        <f>VLOOKUP('Sales table'!$A:$A,Customers!$A:$H,4,FALSE)</f>
        <v>63</v>
      </c>
      <c r="F906" t="str">
        <f>VLOOKUP('Sales table'!$A:$A,Customers!$A:$H,5,FALSE)</f>
        <v>Chennai</v>
      </c>
      <c r="G906" t="str">
        <f>VLOOKUP($B:$B,Products!$A:$D,2,FALSE)</f>
        <v>Ethnic Jewelry</v>
      </c>
      <c r="H906" t="str">
        <f>VLOOKUP($B:$B,Products!$A:$D,3,FALSE)</f>
        <v>Precious Items</v>
      </c>
      <c r="I906">
        <f>VLOOKUP($B:$B,Products!$A:$D,4,FALSE)</f>
        <v>4495</v>
      </c>
      <c r="J906" s="4">
        <f>VLOOKUP($A:$A,Sales!$B:$H,6,FALSE)</f>
        <v>45614</v>
      </c>
      <c r="K906" s="9">
        <f>VLOOKUP($A:$A,Sales!$B:$H,4,FALSE)</f>
        <v>2</v>
      </c>
      <c r="L906" s="5">
        <f t="shared" si="14"/>
        <v>8990</v>
      </c>
    </row>
    <row r="907" spans="1:12" x14ac:dyDescent="0.3">
      <c r="A907">
        <v>1061</v>
      </c>
      <c r="B907">
        <v>2025</v>
      </c>
      <c r="C907">
        <v>3031</v>
      </c>
      <c r="D907" t="str">
        <f>VLOOKUP('Sales table'!$A:$A,Customers!$A:$H,2,FALSE)</f>
        <v>Alexander Gonzalez</v>
      </c>
      <c r="E907">
        <f>VLOOKUP('Sales table'!$A:$A,Customers!$A:$H,4,FALSE)</f>
        <v>53</v>
      </c>
      <c r="F907" t="str">
        <f>VLOOKUP('Sales table'!$A:$A,Customers!$A:$H,5,FALSE)</f>
        <v>Pune</v>
      </c>
      <c r="G907" t="str">
        <f>VLOOKUP($B:$B,Products!$A:$D,2,FALSE)</f>
        <v>Handbag</v>
      </c>
      <c r="H907" t="str">
        <f>VLOOKUP($B:$B,Products!$A:$D,3,FALSE)</f>
        <v>Accessories</v>
      </c>
      <c r="I907">
        <f>VLOOKUP($B:$B,Products!$A:$D,4,FALSE)</f>
        <v>17019</v>
      </c>
      <c r="J907" s="4">
        <f>VLOOKUP($A:$A,Sales!$B:$H,6,FALSE)</f>
        <v>45579</v>
      </c>
      <c r="K907" s="9">
        <f>VLOOKUP($A:$A,Sales!$B:$H,4,FALSE)</f>
        <v>3</v>
      </c>
      <c r="L907" s="5">
        <f t="shared" si="14"/>
        <v>51057</v>
      </c>
    </row>
    <row r="908" spans="1:12" x14ac:dyDescent="0.3">
      <c r="A908">
        <v>1003</v>
      </c>
      <c r="B908">
        <v>2019</v>
      </c>
      <c r="C908">
        <v>3015</v>
      </c>
      <c r="D908" t="str">
        <f>VLOOKUP('Sales table'!$A:$A,Customers!$A:$H,2,FALSE)</f>
        <v>Amanda Miller</v>
      </c>
      <c r="E908">
        <f>VLOOKUP('Sales table'!$A:$A,Customers!$A:$H,4,FALSE)</f>
        <v>22</v>
      </c>
      <c r="F908" t="str">
        <f>VLOOKUP('Sales table'!$A:$A,Customers!$A:$H,5,FALSE)</f>
        <v>Chennai</v>
      </c>
      <c r="G908" t="str">
        <f>VLOOKUP($B:$B,Products!$A:$D,2,FALSE)</f>
        <v>Designer Kurti</v>
      </c>
      <c r="H908" t="str">
        <f>VLOOKUP($B:$B,Products!$A:$D,3,FALSE)</f>
        <v>Clothing</v>
      </c>
      <c r="I908">
        <f>VLOOKUP($B:$B,Products!$A:$D,4,FALSE)</f>
        <v>13620</v>
      </c>
      <c r="J908" s="4">
        <f>VLOOKUP($A:$A,Sales!$B:$H,6,FALSE)</f>
        <v>45598</v>
      </c>
      <c r="K908" s="9">
        <f>VLOOKUP($A:$A,Sales!$B:$H,4,FALSE)</f>
        <v>4</v>
      </c>
      <c r="L908" s="5">
        <f t="shared" si="14"/>
        <v>54480</v>
      </c>
    </row>
    <row r="909" spans="1:12" x14ac:dyDescent="0.3">
      <c r="A909">
        <v>1140</v>
      </c>
      <c r="B909">
        <v>2025</v>
      </c>
      <c r="C909">
        <v>3010</v>
      </c>
      <c r="D909" t="str">
        <f>VLOOKUP('Sales table'!$A:$A,Customers!$A:$H,2,FALSE)</f>
        <v>Alex Brown</v>
      </c>
      <c r="E909">
        <f>VLOOKUP('Sales table'!$A:$A,Customers!$A:$H,4,FALSE)</f>
        <v>27</v>
      </c>
      <c r="F909" t="str">
        <f>VLOOKUP('Sales table'!$A:$A,Customers!$A:$H,5,FALSE)</f>
        <v>Mumbai</v>
      </c>
      <c r="G909" t="str">
        <f>VLOOKUP($B:$B,Products!$A:$D,2,FALSE)</f>
        <v>Handbag</v>
      </c>
      <c r="H909" t="str">
        <f>VLOOKUP($B:$B,Products!$A:$D,3,FALSE)</f>
        <v>Accessories</v>
      </c>
      <c r="I909">
        <f>VLOOKUP($B:$B,Products!$A:$D,4,FALSE)</f>
        <v>17019</v>
      </c>
      <c r="J909" s="4">
        <f>VLOOKUP($A:$A,Sales!$B:$H,6,FALSE)</f>
        <v>45601</v>
      </c>
      <c r="K909" s="9">
        <f>VLOOKUP($A:$A,Sales!$B:$H,4,FALSE)</f>
        <v>2</v>
      </c>
      <c r="L909" s="5">
        <f t="shared" si="14"/>
        <v>34038</v>
      </c>
    </row>
    <row r="910" spans="1:12" x14ac:dyDescent="0.3">
      <c r="A910">
        <v>1206</v>
      </c>
      <c r="B910">
        <v>2015</v>
      </c>
      <c r="C910">
        <v>3008</v>
      </c>
      <c r="D910" t="str">
        <f>VLOOKUP('Sales table'!$A:$A,Customers!$A:$H,2,FALSE)</f>
        <v>Cynthia Martinez</v>
      </c>
      <c r="E910">
        <f>VLOOKUP('Sales table'!$A:$A,Customers!$A:$H,4,FALSE)</f>
        <v>34</v>
      </c>
      <c r="F910" t="str">
        <f>VLOOKUP('Sales table'!$A:$A,Customers!$A:$H,5,FALSE)</f>
        <v>Pune</v>
      </c>
      <c r="G910" t="str">
        <f>VLOOKUP($B:$B,Products!$A:$D,2,FALSE)</f>
        <v>Candle Set</v>
      </c>
      <c r="H910" t="str">
        <f>VLOOKUP($B:$B,Products!$A:$D,3,FALSE)</f>
        <v>Home Decor</v>
      </c>
      <c r="I910">
        <f>VLOOKUP($B:$B,Products!$A:$D,4,FALSE)</f>
        <v>17604</v>
      </c>
      <c r="J910" s="4">
        <f>VLOOKUP($A:$A,Sales!$B:$H,6,FALSE)</f>
        <v>45582</v>
      </c>
      <c r="K910" s="9">
        <f>VLOOKUP($A:$A,Sales!$B:$H,4,FALSE)</f>
        <v>3</v>
      </c>
      <c r="L910" s="5">
        <f t="shared" si="14"/>
        <v>52812</v>
      </c>
    </row>
    <row r="911" spans="1:12" x14ac:dyDescent="0.3">
      <c r="A911">
        <v>1187</v>
      </c>
      <c r="B911">
        <v>2025</v>
      </c>
      <c r="C911">
        <v>3006</v>
      </c>
      <c r="D911" t="str">
        <f>VLOOKUP('Sales table'!$A:$A,Customers!$A:$H,2,FALSE)</f>
        <v>Steven Sosa</v>
      </c>
      <c r="E911">
        <f>VLOOKUP('Sales table'!$A:$A,Customers!$A:$H,4,FALSE)</f>
        <v>39</v>
      </c>
      <c r="F911" t="str">
        <f>VLOOKUP('Sales table'!$A:$A,Customers!$A:$H,5,FALSE)</f>
        <v>Chennai</v>
      </c>
      <c r="G911" t="str">
        <f>VLOOKUP($B:$B,Products!$A:$D,2,FALSE)</f>
        <v>Handbag</v>
      </c>
      <c r="H911" t="str">
        <f>VLOOKUP($B:$B,Products!$A:$D,3,FALSE)</f>
        <v>Accessories</v>
      </c>
      <c r="I911">
        <f>VLOOKUP($B:$B,Products!$A:$D,4,FALSE)</f>
        <v>17019</v>
      </c>
      <c r="J911" s="4">
        <f>VLOOKUP($A:$A,Sales!$B:$H,6,FALSE)</f>
        <v>45598</v>
      </c>
      <c r="K911" s="9">
        <f>VLOOKUP($A:$A,Sales!$B:$H,4,FALSE)</f>
        <v>4</v>
      </c>
      <c r="L911" s="5">
        <f t="shared" si="14"/>
        <v>68076</v>
      </c>
    </row>
    <row r="912" spans="1:12" x14ac:dyDescent="0.3">
      <c r="A912">
        <v>1008</v>
      </c>
      <c r="B912">
        <v>2006</v>
      </c>
      <c r="C912">
        <v>3030</v>
      </c>
      <c r="D912" t="str">
        <f>VLOOKUP('Sales table'!$A:$A,Customers!$A:$H,2,FALSE)</f>
        <v>Elizabeth Woods</v>
      </c>
      <c r="E912">
        <f>VLOOKUP('Sales table'!$A:$A,Customers!$A:$H,4,FALSE)</f>
        <v>61</v>
      </c>
      <c r="F912" t="str">
        <f>VLOOKUP('Sales table'!$A:$A,Customers!$A:$H,5,FALSE)</f>
        <v>Pune</v>
      </c>
      <c r="G912" t="str">
        <f>VLOOKUP($B:$B,Products!$A:$D,2,FALSE)</f>
        <v>Crackers Pack</v>
      </c>
      <c r="H912" t="str">
        <f>VLOOKUP($B:$B,Products!$A:$D,3,FALSE)</f>
        <v>Crackers</v>
      </c>
      <c r="I912">
        <f>VLOOKUP($B:$B,Products!$A:$D,4,FALSE)</f>
        <v>12060</v>
      </c>
      <c r="J912" s="4">
        <f>VLOOKUP($A:$A,Sales!$B:$H,6,FALSE)</f>
        <v>45600</v>
      </c>
      <c r="K912" s="9">
        <f>VLOOKUP($A:$A,Sales!$B:$H,4,FALSE)</f>
        <v>2</v>
      </c>
      <c r="L912" s="5">
        <f t="shared" si="14"/>
        <v>24120</v>
      </c>
    </row>
    <row r="913" spans="1:12" x14ac:dyDescent="0.3">
      <c r="A913">
        <v>1057</v>
      </c>
      <c r="B913">
        <v>2020</v>
      </c>
      <c r="C913">
        <v>3025</v>
      </c>
      <c r="D913" t="str">
        <f>VLOOKUP('Sales table'!$A:$A,Customers!$A:$H,2,FALSE)</f>
        <v>John Lopez</v>
      </c>
      <c r="E913">
        <f>VLOOKUP('Sales table'!$A:$A,Customers!$A:$H,4,FALSE)</f>
        <v>51</v>
      </c>
      <c r="F913" t="str">
        <f>VLOOKUP('Sales table'!$A:$A,Customers!$A:$H,5,FALSE)</f>
        <v>Bangalore</v>
      </c>
      <c r="G913" t="str">
        <f>VLOOKUP($B:$B,Products!$A:$D,2,FALSE)</f>
        <v>Ethnic Jewelry</v>
      </c>
      <c r="H913" t="str">
        <f>VLOOKUP($B:$B,Products!$A:$D,3,FALSE)</f>
        <v>Precious Items</v>
      </c>
      <c r="I913">
        <f>VLOOKUP($B:$B,Products!$A:$D,4,FALSE)</f>
        <v>4495</v>
      </c>
      <c r="J913" s="4">
        <f>VLOOKUP($A:$A,Sales!$B:$H,6,FALSE)</f>
        <v>45591</v>
      </c>
      <c r="K913" s="9">
        <f>VLOOKUP($A:$A,Sales!$B:$H,4,FALSE)</f>
        <v>4</v>
      </c>
      <c r="L913" s="5">
        <f t="shared" si="14"/>
        <v>17980</v>
      </c>
    </row>
    <row r="914" spans="1:12" x14ac:dyDescent="0.3">
      <c r="A914">
        <v>1087</v>
      </c>
      <c r="B914">
        <v>2007</v>
      </c>
      <c r="C914">
        <v>3034</v>
      </c>
      <c r="D914" t="str">
        <f>VLOOKUP('Sales table'!$A:$A,Customers!$A:$H,2,FALSE)</f>
        <v>Jared Romero</v>
      </c>
      <c r="E914">
        <f>VLOOKUP('Sales table'!$A:$A,Customers!$A:$H,4,FALSE)</f>
        <v>26</v>
      </c>
      <c r="F914" t="str">
        <f>VLOOKUP('Sales table'!$A:$A,Customers!$A:$H,5,FALSE)</f>
        <v>Hyderabad</v>
      </c>
      <c r="G914" t="str">
        <f>VLOOKUP($B:$B,Products!$A:$D,2,FALSE)</f>
        <v>Gift Hamper</v>
      </c>
      <c r="H914" t="str">
        <f>VLOOKUP($B:$B,Products!$A:$D,3,FALSE)</f>
        <v>Sweets &amp; Gifts</v>
      </c>
      <c r="I914">
        <f>VLOOKUP($B:$B,Products!$A:$D,4,FALSE)</f>
        <v>3412</v>
      </c>
      <c r="J914" s="4">
        <f>VLOOKUP($A:$A,Sales!$B:$H,6,FALSE)</f>
        <v>45601</v>
      </c>
      <c r="K914" s="9">
        <f>VLOOKUP($A:$A,Sales!$B:$H,4,FALSE)</f>
        <v>5</v>
      </c>
      <c r="L914" s="5">
        <f t="shared" si="14"/>
        <v>17060</v>
      </c>
    </row>
    <row r="915" spans="1:12" x14ac:dyDescent="0.3">
      <c r="A915">
        <v>1106</v>
      </c>
      <c r="B915">
        <v>2024</v>
      </c>
      <c r="C915">
        <v>3024</v>
      </c>
      <c r="D915" t="str">
        <f>VLOOKUP('Sales table'!$A:$A,Customers!$A:$H,2,FALSE)</f>
        <v>Suzanne Green</v>
      </c>
      <c r="E915">
        <f>VLOOKUP('Sales table'!$A:$A,Customers!$A:$H,4,FALSE)</f>
        <v>31</v>
      </c>
      <c r="F915" t="str">
        <f>VLOOKUP('Sales table'!$A:$A,Customers!$A:$H,5,FALSE)</f>
        <v>Chennai</v>
      </c>
      <c r="G915" t="str">
        <f>VLOOKUP($B:$B,Products!$A:$D,2,FALSE)</f>
        <v>Perfume Gift Set</v>
      </c>
      <c r="H915" t="str">
        <f>VLOOKUP($B:$B,Products!$A:$D,3,FALSE)</f>
        <v>Accessories</v>
      </c>
      <c r="I915">
        <f>VLOOKUP($B:$B,Products!$A:$D,4,FALSE)</f>
        <v>16272</v>
      </c>
      <c r="J915" s="4">
        <f>VLOOKUP($A:$A,Sales!$B:$H,6,FALSE)</f>
        <v>45584</v>
      </c>
      <c r="K915" s="9">
        <f>VLOOKUP($A:$A,Sales!$B:$H,4,FALSE)</f>
        <v>5</v>
      </c>
      <c r="L915" s="5">
        <f t="shared" si="14"/>
        <v>81360</v>
      </c>
    </row>
    <row r="916" spans="1:12" x14ac:dyDescent="0.3">
      <c r="A916">
        <v>1136</v>
      </c>
      <c r="B916">
        <v>2021</v>
      </c>
      <c r="C916">
        <v>3017</v>
      </c>
      <c r="D916" t="str">
        <f>VLOOKUP('Sales table'!$A:$A,Customers!$A:$H,2,FALSE)</f>
        <v>Brooke Oliver</v>
      </c>
      <c r="E916">
        <f>VLOOKUP('Sales table'!$A:$A,Customers!$A:$H,4,FALSE)</f>
        <v>30</v>
      </c>
      <c r="F916" t="str">
        <f>VLOOKUP('Sales table'!$A:$A,Customers!$A:$H,5,FALSE)</f>
        <v>Chennai</v>
      </c>
      <c r="G916" t="str">
        <f>VLOOKUP($B:$B,Products!$A:$D,2,FALSE)</f>
        <v>Smartwatch</v>
      </c>
      <c r="H916" t="str">
        <f>VLOOKUP($B:$B,Products!$A:$D,3,FALSE)</f>
        <v>Electronics</v>
      </c>
      <c r="I916">
        <f>VLOOKUP($B:$B,Products!$A:$D,4,FALSE)</f>
        <v>17586</v>
      </c>
      <c r="J916" s="4">
        <f>VLOOKUP($A:$A,Sales!$B:$H,6,FALSE)</f>
        <v>45587</v>
      </c>
      <c r="K916" s="9">
        <f>VLOOKUP($A:$A,Sales!$B:$H,4,FALSE)</f>
        <v>4</v>
      </c>
      <c r="L916" s="5">
        <f t="shared" si="14"/>
        <v>70344</v>
      </c>
    </row>
    <row r="917" spans="1:12" x14ac:dyDescent="0.3">
      <c r="A917">
        <v>1298</v>
      </c>
      <c r="B917">
        <v>2009</v>
      </c>
      <c r="C917">
        <v>3002</v>
      </c>
      <c r="D917" t="str">
        <f>VLOOKUP('Sales table'!$A:$A,Customers!$A:$H,2,FALSE)</f>
        <v>Kim Smith</v>
      </c>
      <c r="E917">
        <f>VLOOKUP('Sales table'!$A:$A,Customers!$A:$H,4,FALSE)</f>
        <v>50</v>
      </c>
      <c r="F917" t="str">
        <f>VLOOKUP('Sales table'!$A:$A,Customers!$A:$H,5,FALSE)</f>
        <v>Chennai</v>
      </c>
      <c r="G917" t="str">
        <f>VLOOKUP($B:$B,Products!$A:$D,2,FALSE)</f>
        <v>Bluetooth Speaker</v>
      </c>
      <c r="H917" t="str">
        <f>VLOOKUP($B:$B,Products!$A:$D,3,FALSE)</f>
        <v>Electronics</v>
      </c>
      <c r="I917">
        <f>VLOOKUP($B:$B,Products!$A:$D,4,FALSE)</f>
        <v>11047</v>
      </c>
      <c r="J917" s="4">
        <f>VLOOKUP($A:$A,Sales!$B:$H,6,FALSE)</f>
        <v>45596</v>
      </c>
      <c r="K917" s="9">
        <f>VLOOKUP($A:$A,Sales!$B:$H,4,FALSE)</f>
        <v>3</v>
      </c>
      <c r="L917" s="5">
        <f t="shared" si="14"/>
        <v>33141</v>
      </c>
    </row>
    <row r="918" spans="1:12" x14ac:dyDescent="0.3">
      <c r="A918">
        <v>1284</v>
      </c>
      <c r="B918">
        <v>2017</v>
      </c>
      <c r="C918">
        <v>3031</v>
      </c>
      <c r="D918" t="str">
        <f>VLOOKUP('Sales table'!$A:$A,Customers!$A:$H,2,FALSE)</f>
        <v>Mary Glover</v>
      </c>
      <c r="E918">
        <f>VLOOKUP('Sales table'!$A:$A,Customers!$A:$H,4,FALSE)</f>
        <v>22</v>
      </c>
      <c r="F918" t="str">
        <f>VLOOKUP('Sales table'!$A:$A,Customers!$A:$H,5,FALSE)</f>
        <v>Pune</v>
      </c>
      <c r="G918" t="str">
        <f>VLOOKUP($B:$B,Products!$A:$D,2,FALSE)</f>
        <v>Handmade Pottery</v>
      </c>
      <c r="H918" t="str">
        <f>VLOOKUP($B:$B,Products!$A:$D,3,FALSE)</f>
        <v>Home Decor</v>
      </c>
      <c r="I918">
        <f>VLOOKUP($B:$B,Products!$A:$D,4,FALSE)</f>
        <v>8186</v>
      </c>
      <c r="J918" s="4">
        <f>VLOOKUP($A:$A,Sales!$B:$H,6,FALSE)</f>
        <v>45586</v>
      </c>
      <c r="K918" s="9">
        <f>VLOOKUP($A:$A,Sales!$B:$H,4,FALSE)</f>
        <v>2</v>
      </c>
      <c r="L918" s="5">
        <f t="shared" si="14"/>
        <v>16372</v>
      </c>
    </row>
    <row r="919" spans="1:12" x14ac:dyDescent="0.3">
      <c r="A919">
        <v>1053</v>
      </c>
      <c r="B919">
        <v>2006</v>
      </c>
      <c r="C919">
        <v>3016</v>
      </c>
      <c r="D919" t="str">
        <f>VLOOKUP('Sales table'!$A:$A,Customers!$A:$H,2,FALSE)</f>
        <v>Brandon Martin</v>
      </c>
      <c r="E919">
        <f>VLOOKUP('Sales table'!$A:$A,Customers!$A:$H,4,FALSE)</f>
        <v>52</v>
      </c>
      <c r="F919" t="str">
        <f>VLOOKUP('Sales table'!$A:$A,Customers!$A:$H,5,FALSE)</f>
        <v>Kolkata</v>
      </c>
      <c r="G919" t="str">
        <f>VLOOKUP($B:$B,Products!$A:$D,2,FALSE)</f>
        <v>Crackers Pack</v>
      </c>
      <c r="H919" t="str">
        <f>VLOOKUP($B:$B,Products!$A:$D,3,FALSE)</f>
        <v>Crackers</v>
      </c>
      <c r="I919">
        <f>VLOOKUP($B:$B,Products!$A:$D,4,FALSE)</f>
        <v>12060</v>
      </c>
      <c r="J919" s="4">
        <f>VLOOKUP($A:$A,Sales!$B:$H,6,FALSE)</f>
        <v>45604</v>
      </c>
      <c r="K919" s="9">
        <f>VLOOKUP($A:$A,Sales!$B:$H,4,FALSE)</f>
        <v>3</v>
      </c>
      <c r="L919" s="5">
        <f t="shared" si="14"/>
        <v>36180</v>
      </c>
    </row>
    <row r="920" spans="1:12" x14ac:dyDescent="0.3">
      <c r="A920">
        <v>1210</v>
      </c>
      <c r="B920">
        <v>2012</v>
      </c>
      <c r="C920">
        <v>3032</v>
      </c>
      <c r="D920" t="str">
        <f>VLOOKUP('Sales table'!$A:$A,Customers!$A:$H,2,FALSE)</f>
        <v>Laura Wong</v>
      </c>
      <c r="E920">
        <f>VLOOKUP('Sales table'!$A:$A,Customers!$A:$H,4,FALSE)</f>
        <v>55</v>
      </c>
      <c r="F920" t="str">
        <f>VLOOKUP('Sales table'!$A:$A,Customers!$A:$H,5,FALSE)</f>
        <v>Delhi</v>
      </c>
      <c r="G920" t="str">
        <f>VLOOKUP($B:$B,Products!$A:$D,2,FALSE)</f>
        <v>Wall Hanging</v>
      </c>
      <c r="H920" t="str">
        <f>VLOOKUP($B:$B,Products!$A:$D,3,FALSE)</f>
        <v>Home Decor</v>
      </c>
      <c r="I920">
        <f>VLOOKUP($B:$B,Products!$A:$D,4,FALSE)</f>
        <v>11867</v>
      </c>
      <c r="J920" s="4">
        <f>VLOOKUP($A:$A,Sales!$B:$H,6,FALSE)</f>
        <v>45600</v>
      </c>
      <c r="K920" s="9">
        <f>VLOOKUP($A:$A,Sales!$B:$H,4,FALSE)</f>
        <v>2</v>
      </c>
      <c r="L920" s="5">
        <f t="shared" si="14"/>
        <v>23734</v>
      </c>
    </row>
    <row r="921" spans="1:12" x14ac:dyDescent="0.3">
      <c r="A921">
        <v>1212</v>
      </c>
      <c r="B921">
        <v>2002</v>
      </c>
      <c r="C921">
        <v>3021</v>
      </c>
      <c r="D921" t="str">
        <f>VLOOKUP('Sales table'!$A:$A,Customers!$A:$H,2,FALSE)</f>
        <v>Ashley Green</v>
      </c>
      <c r="E921">
        <f>VLOOKUP('Sales table'!$A:$A,Customers!$A:$H,4,FALSE)</f>
        <v>41</v>
      </c>
      <c r="F921" t="str">
        <f>VLOOKUP('Sales table'!$A:$A,Customers!$A:$H,5,FALSE)</f>
        <v>Hyderabad</v>
      </c>
      <c r="G921" t="str">
        <f>VLOOKUP($B:$B,Products!$A:$D,2,FALSE)</f>
        <v>Saree</v>
      </c>
      <c r="H921" t="str">
        <f>VLOOKUP($B:$B,Products!$A:$D,3,FALSE)</f>
        <v>Clothing</v>
      </c>
      <c r="I921">
        <f>VLOOKUP($B:$B,Products!$A:$D,4,FALSE)</f>
        <v>9534</v>
      </c>
      <c r="J921" s="4">
        <f>VLOOKUP($A:$A,Sales!$B:$H,6,FALSE)</f>
        <v>45582</v>
      </c>
      <c r="K921" s="9">
        <f>VLOOKUP($A:$A,Sales!$B:$H,4,FALSE)</f>
        <v>4</v>
      </c>
      <c r="L921" s="5">
        <f t="shared" si="14"/>
        <v>38136</v>
      </c>
    </row>
    <row r="922" spans="1:12" x14ac:dyDescent="0.3">
      <c r="A922">
        <v>1138</v>
      </c>
      <c r="B922">
        <v>2012</v>
      </c>
      <c r="C922">
        <v>3027</v>
      </c>
      <c r="D922" t="str">
        <f>VLOOKUP('Sales table'!$A:$A,Customers!$A:$H,2,FALSE)</f>
        <v>Timothy Wells</v>
      </c>
      <c r="E922">
        <f>VLOOKUP('Sales table'!$A:$A,Customers!$A:$H,4,FALSE)</f>
        <v>18</v>
      </c>
      <c r="F922" t="str">
        <f>VLOOKUP('Sales table'!$A:$A,Customers!$A:$H,5,FALSE)</f>
        <v>Hyderabad</v>
      </c>
      <c r="G922" t="str">
        <f>VLOOKUP($B:$B,Products!$A:$D,2,FALSE)</f>
        <v>Wall Hanging</v>
      </c>
      <c r="H922" t="str">
        <f>VLOOKUP($B:$B,Products!$A:$D,3,FALSE)</f>
        <v>Home Decor</v>
      </c>
      <c r="I922">
        <f>VLOOKUP($B:$B,Products!$A:$D,4,FALSE)</f>
        <v>11867</v>
      </c>
      <c r="J922" s="4">
        <f>VLOOKUP($A:$A,Sales!$B:$H,6,FALSE)</f>
        <v>45586</v>
      </c>
      <c r="K922" s="9">
        <f>VLOOKUP($A:$A,Sales!$B:$H,4,FALSE)</f>
        <v>1</v>
      </c>
      <c r="L922" s="5">
        <f t="shared" si="14"/>
        <v>11867</v>
      </c>
    </row>
    <row r="923" spans="1:12" x14ac:dyDescent="0.3">
      <c r="A923">
        <v>1037</v>
      </c>
      <c r="B923">
        <v>2003</v>
      </c>
      <c r="C923">
        <v>3018</v>
      </c>
      <c r="D923" t="str">
        <f>VLOOKUP('Sales table'!$A:$A,Customers!$A:$H,2,FALSE)</f>
        <v>Donald Wells</v>
      </c>
      <c r="E923">
        <f>VLOOKUP('Sales table'!$A:$A,Customers!$A:$H,4,FALSE)</f>
        <v>36</v>
      </c>
      <c r="F923" t="str">
        <f>VLOOKUP('Sales table'!$A:$A,Customers!$A:$H,5,FALSE)</f>
        <v>Delhi</v>
      </c>
      <c r="G923" t="str">
        <f>VLOOKUP($B:$B,Products!$A:$D,2,FALSE)</f>
        <v>Kurta</v>
      </c>
      <c r="H923" t="str">
        <f>VLOOKUP($B:$B,Products!$A:$D,3,FALSE)</f>
        <v>Clothing</v>
      </c>
      <c r="I923">
        <f>VLOOKUP($B:$B,Products!$A:$D,4,FALSE)</f>
        <v>13241</v>
      </c>
      <c r="J923" s="4">
        <f>VLOOKUP($A:$A,Sales!$B:$H,6,FALSE)</f>
        <v>45603</v>
      </c>
      <c r="K923" s="9">
        <f>VLOOKUP($A:$A,Sales!$B:$H,4,FALSE)</f>
        <v>5</v>
      </c>
      <c r="L923" s="5">
        <f t="shared" si="14"/>
        <v>66205</v>
      </c>
    </row>
    <row r="924" spans="1:12" x14ac:dyDescent="0.3">
      <c r="A924">
        <v>1299</v>
      </c>
      <c r="B924">
        <v>2015</v>
      </c>
      <c r="C924">
        <v>3034</v>
      </c>
      <c r="D924" t="str">
        <f>VLOOKUP('Sales table'!$A:$A,Customers!$A:$H,2,FALSE)</f>
        <v>Alison Collins</v>
      </c>
      <c r="E924">
        <f>VLOOKUP('Sales table'!$A:$A,Customers!$A:$H,4,FALSE)</f>
        <v>29</v>
      </c>
      <c r="F924" t="str">
        <f>VLOOKUP('Sales table'!$A:$A,Customers!$A:$H,5,FALSE)</f>
        <v>Pune</v>
      </c>
      <c r="G924" t="str">
        <f>VLOOKUP($B:$B,Products!$A:$D,2,FALSE)</f>
        <v>Candle Set</v>
      </c>
      <c r="H924" t="str">
        <f>VLOOKUP($B:$B,Products!$A:$D,3,FALSE)</f>
        <v>Home Decor</v>
      </c>
      <c r="I924">
        <f>VLOOKUP($B:$B,Products!$A:$D,4,FALSE)</f>
        <v>17604</v>
      </c>
      <c r="J924" s="4">
        <f>VLOOKUP($A:$A,Sales!$B:$H,6,FALSE)</f>
        <v>45607</v>
      </c>
      <c r="K924" s="9">
        <f>VLOOKUP($A:$A,Sales!$B:$H,4,FALSE)</f>
        <v>2</v>
      </c>
      <c r="L924" s="5">
        <f t="shared" si="14"/>
        <v>35208</v>
      </c>
    </row>
    <row r="925" spans="1:12" x14ac:dyDescent="0.3">
      <c r="A925">
        <v>1247</v>
      </c>
      <c r="B925">
        <v>2003</v>
      </c>
      <c r="C925">
        <v>3011</v>
      </c>
      <c r="D925" t="str">
        <f>VLOOKUP('Sales table'!$A:$A,Customers!$A:$H,2,FALSE)</f>
        <v>Tyler Melendez Dvm</v>
      </c>
      <c r="E925">
        <f>VLOOKUP('Sales table'!$A:$A,Customers!$A:$H,4,FALSE)</f>
        <v>61</v>
      </c>
      <c r="F925" t="str">
        <f>VLOOKUP('Sales table'!$A:$A,Customers!$A:$H,5,FALSE)</f>
        <v>Delhi</v>
      </c>
      <c r="G925" t="str">
        <f>VLOOKUP($B:$B,Products!$A:$D,2,FALSE)</f>
        <v>Kurta</v>
      </c>
      <c r="H925" t="str">
        <f>VLOOKUP($B:$B,Products!$A:$D,3,FALSE)</f>
        <v>Clothing</v>
      </c>
      <c r="I925">
        <f>VLOOKUP($B:$B,Products!$A:$D,4,FALSE)</f>
        <v>13241</v>
      </c>
      <c r="J925" s="4">
        <f>VLOOKUP($A:$A,Sales!$B:$H,6,FALSE)</f>
        <v>45604</v>
      </c>
      <c r="K925" s="9">
        <f>VLOOKUP($A:$A,Sales!$B:$H,4,FALSE)</f>
        <v>5</v>
      </c>
      <c r="L925" s="5">
        <f t="shared" si="14"/>
        <v>66205</v>
      </c>
    </row>
    <row r="926" spans="1:12" x14ac:dyDescent="0.3">
      <c r="A926">
        <v>1011</v>
      </c>
      <c r="B926">
        <v>2018</v>
      </c>
      <c r="C926">
        <v>3022</v>
      </c>
      <c r="D926" t="str">
        <f>VLOOKUP('Sales table'!$A:$A,Customers!$A:$H,2,FALSE)</f>
        <v>Lindsey West</v>
      </c>
      <c r="E926">
        <f>VLOOKUP('Sales table'!$A:$A,Customers!$A:$H,4,FALSE)</f>
        <v>19</v>
      </c>
      <c r="F926" t="str">
        <f>VLOOKUP('Sales table'!$A:$A,Customers!$A:$H,5,FALSE)</f>
        <v>Hyderabad</v>
      </c>
      <c r="G926" t="str">
        <f>VLOOKUP($B:$B,Products!$A:$D,2,FALSE)</f>
        <v>Dry Fruits Pack</v>
      </c>
      <c r="H926" t="str">
        <f>VLOOKUP($B:$B,Products!$A:$D,3,FALSE)</f>
        <v>Sweets &amp; Gifts</v>
      </c>
      <c r="I926">
        <f>VLOOKUP($B:$B,Products!$A:$D,4,FALSE)</f>
        <v>7243</v>
      </c>
      <c r="J926" s="4">
        <f>VLOOKUP($A:$A,Sales!$B:$H,6,FALSE)</f>
        <v>45575</v>
      </c>
      <c r="K926" s="9">
        <f>VLOOKUP($A:$A,Sales!$B:$H,4,FALSE)</f>
        <v>3</v>
      </c>
      <c r="L926" s="5">
        <f t="shared" si="14"/>
        <v>21729</v>
      </c>
    </row>
    <row r="927" spans="1:12" x14ac:dyDescent="0.3">
      <c r="A927">
        <v>1053</v>
      </c>
      <c r="B927">
        <v>2002</v>
      </c>
      <c r="C927">
        <v>3008</v>
      </c>
      <c r="D927" t="str">
        <f>VLOOKUP('Sales table'!$A:$A,Customers!$A:$H,2,FALSE)</f>
        <v>Brandon Martin</v>
      </c>
      <c r="E927">
        <f>VLOOKUP('Sales table'!$A:$A,Customers!$A:$H,4,FALSE)</f>
        <v>52</v>
      </c>
      <c r="F927" t="str">
        <f>VLOOKUP('Sales table'!$A:$A,Customers!$A:$H,5,FALSE)</f>
        <v>Kolkata</v>
      </c>
      <c r="G927" t="str">
        <f>VLOOKUP($B:$B,Products!$A:$D,2,FALSE)</f>
        <v>Saree</v>
      </c>
      <c r="H927" t="str">
        <f>VLOOKUP($B:$B,Products!$A:$D,3,FALSE)</f>
        <v>Clothing</v>
      </c>
      <c r="I927">
        <f>VLOOKUP($B:$B,Products!$A:$D,4,FALSE)</f>
        <v>9534</v>
      </c>
      <c r="J927" s="4">
        <f>VLOOKUP($A:$A,Sales!$B:$H,6,FALSE)</f>
        <v>45604</v>
      </c>
      <c r="K927" s="9">
        <f>VLOOKUP($A:$A,Sales!$B:$H,4,FALSE)</f>
        <v>3</v>
      </c>
      <c r="L927" s="5">
        <f t="shared" si="14"/>
        <v>28602</v>
      </c>
    </row>
    <row r="928" spans="1:12" x14ac:dyDescent="0.3">
      <c r="A928">
        <v>1296</v>
      </c>
      <c r="B928">
        <v>2001</v>
      </c>
      <c r="C928">
        <v>3011</v>
      </c>
      <c r="D928" t="str">
        <f>VLOOKUP('Sales table'!$A:$A,Customers!$A:$H,2,FALSE)</f>
        <v>Robert Lee</v>
      </c>
      <c r="E928">
        <f>VLOOKUP('Sales table'!$A:$A,Customers!$A:$H,4,FALSE)</f>
        <v>40</v>
      </c>
      <c r="F928" t="str">
        <f>VLOOKUP('Sales table'!$A:$A,Customers!$A:$H,5,FALSE)</f>
        <v>Pune</v>
      </c>
      <c r="G928" t="str">
        <f>VLOOKUP($B:$B,Products!$A:$D,2,FALSE)</f>
        <v>Sweets Box</v>
      </c>
      <c r="H928" t="str">
        <f>VLOOKUP($B:$B,Products!$A:$D,3,FALSE)</f>
        <v>Sweets &amp; Gifts</v>
      </c>
      <c r="I928">
        <f>VLOOKUP($B:$B,Products!$A:$D,4,FALSE)</f>
        <v>7228</v>
      </c>
      <c r="J928" s="4">
        <f>VLOOKUP($A:$A,Sales!$B:$H,6,FALSE)</f>
        <v>45610</v>
      </c>
      <c r="K928" s="9">
        <f>VLOOKUP($A:$A,Sales!$B:$H,4,FALSE)</f>
        <v>1</v>
      </c>
      <c r="L928" s="5">
        <f t="shared" si="14"/>
        <v>7228</v>
      </c>
    </row>
    <row r="929" spans="1:12" x14ac:dyDescent="0.3">
      <c r="A929">
        <v>1185</v>
      </c>
      <c r="B929">
        <v>2001</v>
      </c>
      <c r="C929">
        <v>3032</v>
      </c>
      <c r="D929" t="str">
        <f>VLOOKUP('Sales table'!$A:$A,Customers!$A:$H,2,FALSE)</f>
        <v>Patrick Osborn</v>
      </c>
      <c r="E929">
        <f>VLOOKUP('Sales table'!$A:$A,Customers!$A:$H,4,FALSE)</f>
        <v>52</v>
      </c>
      <c r="F929" t="str">
        <f>VLOOKUP('Sales table'!$A:$A,Customers!$A:$H,5,FALSE)</f>
        <v>Mumbai</v>
      </c>
      <c r="G929" t="str">
        <f>VLOOKUP($B:$B,Products!$A:$D,2,FALSE)</f>
        <v>Sweets Box</v>
      </c>
      <c r="H929" t="str">
        <f>VLOOKUP($B:$B,Products!$A:$D,3,FALSE)</f>
        <v>Sweets &amp; Gifts</v>
      </c>
      <c r="I929">
        <f>VLOOKUP($B:$B,Products!$A:$D,4,FALSE)</f>
        <v>7228</v>
      </c>
      <c r="J929" s="4">
        <f>VLOOKUP($A:$A,Sales!$B:$H,6,FALSE)</f>
        <v>45597</v>
      </c>
      <c r="K929" s="9">
        <f>VLOOKUP($A:$A,Sales!$B:$H,4,FALSE)</f>
        <v>4</v>
      </c>
      <c r="L929" s="5">
        <f t="shared" si="14"/>
        <v>28912</v>
      </c>
    </row>
    <row r="930" spans="1:12" x14ac:dyDescent="0.3">
      <c r="A930">
        <v>1163</v>
      </c>
      <c r="B930">
        <v>2021</v>
      </c>
      <c r="C930">
        <v>3022</v>
      </c>
      <c r="D930" t="str">
        <f>VLOOKUP('Sales table'!$A:$A,Customers!$A:$H,2,FALSE)</f>
        <v>Amy Hernandez</v>
      </c>
      <c r="E930">
        <f>VLOOKUP('Sales table'!$A:$A,Customers!$A:$H,4,FALSE)</f>
        <v>18</v>
      </c>
      <c r="F930" t="str">
        <f>VLOOKUP('Sales table'!$A:$A,Customers!$A:$H,5,FALSE)</f>
        <v>Chennai</v>
      </c>
      <c r="G930" t="str">
        <f>VLOOKUP($B:$B,Products!$A:$D,2,FALSE)</f>
        <v>Smartwatch</v>
      </c>
      <c r="H930" t="str">
        <f>VLOOKUP($B:$B,Products!$A:$D,3,FALSE)</f>
        <v>Electronics</v>
      </c>
      <c r="I930">
        <f>VLOOKUP($B:$B,Products!$A:$D,4,FALSE)</f>
        <v>17586</v>
      </c>
      <c r="J930" s="4">
        <f>VLOOKUP($A:$A,Sales!$B:$H,6,FALSE)</f>
        <v>45605</v>
      </c>
      <c r="K930" s="9">
        <f>VLOOKUP($A:$A,Sales!$B:$H,4,FALSE)</f>
        <v>4</v>
      </c>
      <c r="L930" s="5">
        <f t="shared" si="14"/>
        <v>70344</v>
      </c>
    </row>
    <row r="931" spans="1:12" x14ac:dyDescent="0.3">
      <c r="A931">
        <v>1173</v>
      </c>
      <c r="B931">
        <v>2001</v>
      </c>
      <c r="C931">
        <v>3026</v>
      </c>
      <c r="D931" t="str">
        <f>VLOOKUP('Sales table'!$A:$A,Customers!$A:$H,2,FALSE)</f>
        <v>Emily Martin</v>
      </c>
      <c r="E931">
        <f>VLOOKUP('Sales table'!$A:$A,Customers!$A:$H,4,FALSE)</f>
        <v>51</v>
      </c>
      <c r="F931" t="str">
        <f>VLOOKUP('Sales table'!$A:$A,Customers!$A:$H,5,FALSE)</f>
        <v>Chennai</v>
      </c>
      <c r="G931" t="str">
        <f>VLOOKUP($B:$B,Products!$A:$D,2,FALSE)</f>
        <v>Sweets Box</v>
      </c>
      <c r="H931" t="str">
        <f>VLOOKUP($B:$B,Products!$A:$D,3,FALSE)</f>
        <v>Sweets &amp; Gifts</v>
      </c>
      <c r="I931">
        <f>VLOOKUP($B:$B,Products!$A:$D,4,FALSE)</f>
        <v>7228</v>
      </c>
      <c r="J931" s="4">
        <f>VLOOKUP($A:$A,Sales!$B:$H,6,FALSE)</f>
        <v>45604</v>
      </c>
      <c r="K931" s="9">
        <f>VLOOKUP($A:$A,Sales!$B:$H,4,FALSE)</f>
        <v>4</v>
      </c>
      <c r="L931" s="5">
        <f t="shared" si="14"/>
        <v>28912</v>
      </c>
    </row>
    <row r="932" spans="1:12" x14ac:dyDescent="0.3">
      <c r="A932">
        <v>1170</v>
      </c>
      <c r="B932">
        <v>2017</v>
      </c>
      <c r="C932">
        <v>3016</v>
      </c>
      <c r="D932" t="str">
        <f>VLOOKUP('Sales table'!$A:$A,Customers!$A:$H,2,FALSE)</f>
        <v>Gerald Sanders</v>
      </c>
      <c r="E932">
        <f>VLOOKUP('Sales table'!$A:$A,Customers!$A:$H,4,FALSE)</f>
        <v>52</v>
      </c>
      <c r="F932" t="str">
        <f>VLOOKUP('Sales table'!$A:$A,Customers!$A:$H,5,FALSE)</f>
        <v>Kolkata</v>
      </c>
      <c r="G932" t="str">
        <f>VLOOKUP($B:$B,Products!$A:$D,2,FALSE)</f>
        <v>Handmade Pottery</v>
      </c>
      <c r="H932" t="str">
        <f>VLOOKUP($B:$B,Products!$A:$D,3,FALSE)</f>
        <v>Home Decor</v>
      </c>
      <c r="I932">
        <f>VLOOKUP($B:$B,Products!$A:$D,4,FALSE)</f>
        <v>8186</v>
      </c>
      <c r="J932" s="4">
        <f>VLOOKUP($A:$A,Sales!$B:$H,6,FALSE)</f>
        <v>45600</v>
      </c>
      <c r="K932" s="9">
        <f>VLOOKUP($A:$A,Sales!$B:$H,4,FALSE)</f>
        <v>4</v>
      </c>
      <c r="L932" s="5">
        <f t="shared" si="14"/>
        <v>32744</v>
      </c>
    </row>
    <row r="933" spans="1:12" x14ac:dyDescent="0.3">
      <c r="A933">
        <v>1007</v>
      </c>
      <c r="B933">
        <v>2007</v>
      </c>
      <c r="C933">
        <v>3004</v>
      </c>
      <c r="D933" t="str">
        <f>VLOOKUP('Sales table'!$A:$A,Customers!$A:$H,2,FALSE)</f>
        <v>Daniel Quinn</v>
      </c>
      <c r="E933">
        <f>VLOOKUP('Sales table'!$A:$A,Customers!$A:$H,4,FALSE)</f>
        <v>40</v>
      </c>
      <c r="F933" t="str">
        <f>VLOOKUP('Sales table'!$A:$A,Customers!$A:$H,5,FALSE)</f>
        <v>Pune</v>
      </c>
      <c r="G933" t="str">
        <f>VLOOKUP($B:$B,Products!$A:$D,2,FALSE)</f>
        <v>Gift Hamper</v>
      </c>
      <c r="H933" t="str">
        <f>VLOOKUP($B:$B,Products!$A:$D,3,FALSE)</f>
        <v>Sweets &amp; Gifts</v>
      </c>
      <c r="I933">
        <f>VLOOKUP($B:$B,Products!$A:$D,4,FALSE)</f>
        <v>3412</v>
      </c>
      <c r="J933" s="4">
        <f>VLOOKUP($A:$A,Sales!$B:$H,6,FALSE)</f>
        <v>45593</v>
      </c>
      <c r="K933" s="9">
        <f>VLOOKUP($A:$A,Sales!$B:$H,4,FALSE)</f>
        <v>2</v>
      </c>
      <c r="L933" s="5">
        <f t="shared" si="14"/>
        <v>6824</v>
      </c>
    </row>
    <row r="934" spans="1:12" x14ac:dyDescent="0.3">
      <c r="A934">
        <v>1144</v>
      </c>
      <c r="B934">
        <v>2007</v>
      </c>
      <c r="C934">
        <v>3021</v>
      </c>
      <c r="D934" t="str">
        <f>VLOOKUP('Sales table'!$A:$A,Customers!$A:$H,2,FALSE)</f>
        <v>Amanda Henry</v>
      </c>
      <c r="E934">
        <f>VLOOKUP('Sales table'!$A:$A,Customers!$A:$H,4,FALSE)</f>
        <v>63</v>
      </c>
      <c r="F934" t="str">
        <f>VLOOKUP('Sales table'!$A:$A,Customers!$A:$H,5,FALSE)</f>
        <v>Hyderabad</v>
      </c>
      <c r="G934" t="str">
        <f>VLOOKUP($B:$B,Products!$A:$D,2,FALSE)</f>
        <v>Gift Hamper</v>
      </c>
      <c r="H934" t="str">
        <f>VLOOKUP($B:$B,Products!$A:$D,3,FALSE)</f>
        <v>Sweets &amp; Gifts</v>
      </c>
      <c r="I934">
        <f>VLOOKUP($B:$B,Products!$A:$D,4,FALSE)</f>
        <v>3412</v>
      </c>
      <c r="J934" s="4">
        <f>VLOOKUP($A:$A,Sales!$B:$H,6,FALSE)</f>
        <v>45595</v>
      </c>
      <c r="K934" s="9">
        <f>VLOOKUP($A:$A,Sales!$B:$H,4,FALSE)</f>
        <v>5</v>
      </c>
      <c r="L934" s="5">
        <f t="shared" si="14"/>
        <v>17060</v>
      </c>
    </row>
    <row r="935" spans="1:12" x14ac:dyDescent="0.3">
      <c r="A935">
        <v>1144</v>
      </c>
      <c r="B935">
        <v>2014</v>
      </c>
      <c r="C935">
        <v>3012</v>
      </c>
      <c r="D935" t="str">
        <f>VLOOKUP('Sales table'!$A:$A,Customers!$A:$H,2,FALSE)</f>
        <v>Amanda Henry</v>
      </c>
      <c r="E935">
        <f>VLOOKUP('Sales table'!$A:$A,Customers!$A:$H,4,FALSE)</f>
        <v>63</v>
      </c>
      <c r="F935" t="str">
        <f>VLOOKUP('Sales table'!$A:$A,Customers!$A:$H,5,FALSE)</f>
        <v>Hyderabad</v>
      </c>
      <c r="G935" t="str">
        <f>VLOOKUP($B:$B,Products!$A:$D,2,FALSE)</f>
        <v>Gold Coin</v>
      </c>
      <c r="H935" t="str">
        <f>VLOOKUP($B:$B,Products!$A:$D,3,FALSE)</f>
        <v>Precious Items</v>
      </c>
      <c r="I935">
        <f>VLOOKUP($B:$B,Products!$A:$D,4,FALSE)</f>
        <v>13823</v>
      </c>
      <c r="J935" s="4">
        <f>VLOOKUP($A:$A,Sales!$B:$H,6,FALSE)</f>
        <v>45595</v>
      </c>
      <c r="K935" s="9">
        <f>VLOOKUP($A:$A,Sales!$B:$H,4,FALSE)</f>
        <v>5</v>
      </c>
      <c r="L935" s="5">
        <f t="shared" si="14"/>
        <v>69115</v>
      </c>
    </row>
    <row r="936" spans="1:12" x14ac:dyDescent="0.3">
      <c r="A936">
        <v>1262</v>
      </c>
      <c r="B936">
        <v>2023</v>
      </c>
      <c r="C936">
        <v>3033</v>
      </c>
      <c r="D936" t="str">
        <f>VLOOKUP('Sales table'!$A:$A,Customers!$A:$H,2,FALSE)</f>
        <v>Ricardo Lewis Phd</v>
      </c>
      <c r="E936">
        <f>VLOOKUP('Sales table'!$A:$A,Customers!$A:$H,4,FALSE)</f>
        <v>27</v>
      </c>
      <c r="F936" t="str">
        <f>VLOOKUP('Sales table'!$A:$A,Customers!$A:$H,5,FALSE)</f>
        <v>Hyderabad</v>
      </c>
      <c r="G936" t="str">
        <f>VLOOKUP($B:$B,Products!$A:$D,2,FALSE)</f>
        <v>Kids Wear</v>
      </c>
      <c r="H936" t="str">
        <f>VLOOKUP($B:$B,Products!$A:$D,3,FALSE)</f>
        <v>Clothing</v>
      </c>
      <c r="I936">
        <f>VLOOKUP($B:$B,Products!$A:$D,4,FALSE)</f>
        <v>4794</v>
      </c>
      <c r="J936" s="4">
        <f>VLOOKUP($A:$A,Sales!$B:$H,6,FALSE)</f>
        <v>45611</v>
      </c>
      <c r="K936" s="9">
        <f>VLOOKUP($A:$A,Sales!$B:$H,4,FALSE)</f>
        <v>1</v>
      </c>
      <c r="L936" s="5">
        <f t="shared" si="14"/>
        <v>4794</v>
      </c>
    </row>
    <row r="937" spans="1:12" x14ac:dyDescent="0.3">
      <c r="A937">
        <v>1168</v>
      </c>
      <c r="B937">
        <v>2022</v>
      </c>
      <c r="C937">
        <v>3029</v>
      </c>
      <c r="D937" t="str">
        <f>VLOOKUP('Sales table'!$A:$A,Customers!$A:$H,2,FALSE)</f>
        <v>John Daniels</v>
      </c>
      <c r="E937">
        <f>VLOOKUP('Sales table'!$A:$A,Customers!$A:$H,4,FALSE)</f>
        <v>40</v>
      </c>
      <c r="F937" t="str">
        <f>VLOOKUP('Sales table'!$A:$A,Customers!$A:$H,5,FALSE)</f>
        <v>Kolkata</v>
      </c>
      <c r="G937" t="str">
        <f>VLOOKUP($B:$B,Products!$A:$D,2,FALSE)</f>
        <v>Home Decor Statue</v>
      </c>
      <c r="H937" t="str">
        <f>VLOOKUP($B:$B,Products!$A:$D,3,FALSE)</f>
        <v>Home Decor</v>
      </c>
      <c r="I937">
        <f>VLOOKUP($B:$B,Products!$A:$D,4,FALSE)</f>
        <v>17149</v>
      </c>
      <c r="J937" s="4">
        <f>VLOOKUP($A:$A,Sales!$B:$H,6,FALSE)</f>
        <v>45595</v>
      </c>
      <c r="K937" s="9">
        <f>VLOOKUP($A:$A,Sales!$B:$H,4,FALSE)</f>
        <v>5</v>
      </c>
      <c r="L937" s="5">
        <f t="shared" si="14"/>
        <v>85745</v>
      </c>
    </row>
    <row r="938" spans="1:12" x14ac:dyDescent="0.3">
      <c r="A938">
        <v>1295</v>
      </c>
      <c r="B938">
        <v>2019</v>
      </c>
      <c r="C938">
        <v>3030</v>
      </c>
      <c r="D938" t="str">
        <f>VLOOKUP('Sales table'!$A:$A,Customers!$A:$H,2,FALSE)</f>
        <v>Alicia Wallace</v>
      </c>
      <c r="E938">
        <f>VLOOKUP('Sales table'!$A:$A,Customers!$A:$H,4,FALSE)</f>
        <v>34</v>
      </c>
      <c r="F938" t="str">
        <f>VLOOKUP('Sales table'!$A:$A,Customers!$A:$H,5,FALSE)</f>
        <v>Mumbai</v>
      </c>
      <c r="G938" t="str">
        <f>VLOOKUP($B:$B,Products!$A:$D,2,FALSE)</f>
        <v>Designer Kurti</v>
      </c>
      <c r="H938" t="str">
        <f>VLOOKUP($B:$B,Products!$A:$D,3,FALSE)</f>
        <v>Clothing</v>
      </c>
      <c r="I938">
        <f>VLOOKUP($B:$B,Products!$A:$D,4,FALSE)</f>
        <v>13620</v>
      </c>
      <c r="J938" s="4">
        <f>VLOOKUP($A:$A,Sales!$B:$H,6,FALSE)</f>
        <v>45576</v>
      </c>
      <c r="K938" s="9">
        <f>VLOOKUP($A:$A,Sales!$B:$H,4,FALSE)</f>
        <v>2</v>
      </c>
      <c r="L938" s="5">
        <f t="shared" si="14"/>
        <v>27240</v>
      </c>
    </row>
    <row r="939" spans="1:12" x14ac:dyDescent="0.3">
      <c r="A939">
        <v>1143</v>
      </c>
      <c r="B939">
        <v>2007</v>
      </c>
      <c r="C939">
        <v>3015</v>
      </c>
      <c r="D939" t="str">
        <f>VLOOKUP('Sales table'!$A:$A,Customers!$A:$H,2,FALSE)</f>
        <v>Corey Kidd</v>
      </c>
      <c r="E939">
        <f>VLOOKUP('Sales table'!$A:$A,Customers!$A:$H,4,FALSE)</f>
        <v>58</v>
      </c>
      <c r="F939" t="str">
        <f>VLOOKUP('Sales table'!$A:$A,Customers!$A:$H,5,FALSE)</f>
        <v>Hyderabad</v>
      </c>
      <c r="G939" t="str">
        <f>VLOOKUP($B:$B,Products!$A:$D,2,FALSE)</f>
        <v>Gift Hamper</v>
      </c>
      <c r="H939" t="str">
        <f>VLOOKUP($B:$B,Products!$A:$D,3,FALSE)</f>
        <v>Sweets &amp; Gifts</v>
      </c>
      <c r="I939">
        <f>VLOOKUP($B:$B,Products!$A:$D,4,FALSE)</f>
        <v>3412</v>
      </c>
      <c r="J939" s="4">
        <f>VLOOKUP($A:$A,Sales!$B:$H,6,FALSE)</f>
        <v>45593</v>
      </c>
      <c r="K939" s="9">
        <f>VLOOKUP($A:$A,Sales!$B:$H,4,FALSE)</f>
        <v>5</v>
      </c>
      <c r="L939" s="5">
        <f t="shared" si="14"/>
        <v>17060</v>
      </c>
    </row>
    <row r="940" spans="1:12" x14ac:dyDescent="0.3">
      <c r="A940">
        <v>1189</v>
      </c>
      <c r="B940">
        <v>2017</v>
      </c>
      <c r="C940">
        <v>3027</v>
      </c>
      <c r="D940" t="str">
        <f>VLOOKUP('Sales table'!$A:$A,Customers!$A:$H,2,FALSE)</f>
        <v>Kaitlyn Hickman</v>
      </c>
      <c r="E940">
        <f>VLOOKUP('Sales table'!$A:$A,Customers!$A:$H,4,FALSE)</f>
        <v>21</v>
      </c>
      <c r="F940" t="str">
        <f>VLOOKUP('Sales table'!$A:$A,Customers!$A:$H,5,FALSE)</f>
        <v>Delhi</v>
      </c>
      <c r="G940" t="str">
        <f>VLOOKUP($B:$B,Products!$A:$D,2,FALSE)</f>
        <v>Handmade Pottery</v>
      </c>
      <c r="H940" t="str">
        <f>VLOOKUP($B:$B,Products!$A:$D,3,FALSE)</f>
        <v>Home Decor</v>
      </c>
      <c r="I940">
        <f>VLOOKUP($B:$B,Products!$A:$D,4,FALSE)</f>
        <v>8186</v>
      </c>
      <c r="J940" s="4">
        <f>VLOOKUP($A:$A,Sales!$B:$H,6,FALSE)</f>
        <v>45599</v>
      </c>
      <c r="K940" s="9">
        <f>VLOOKUP($A:$A,Sales!$B:$H,4,FALSE)</f>
        <v>2</v>
      </c>
      <c r="L940" s="5">
        <f t="shared" si="14"/>
        <v>16372</v>
      </c>
    </row>
    <row r="941" spans="1:12" x14ac:dyDescent="0.3">
      <c r="A941">
        <v>1210</v>
      </c>
      <c r="B941">
        <v>2020</v>
      </c>
      <c r="C941">
        <v>3001</v>
      </c>
      <c r="D941" t="str">
        <f>VLOOKUP('Sales table'!$A:$A,Customers!$A:$H,2,FALSE)</f>
        <v>Laura Wong</v>
      </c>
      <c r="E941">
        <f>VLOOKUP('Sales table'!$A:$A,Customers!$A:$H,4,FALSE)</f>
        <v>55</v>
      </c>
      <c r="F941" t="str">
        <f>VLOOKUP('Sales table'!$A:$A,Customers!$A:$H,5,FALSE)</f>
        <v>Delhi</v>
      </c>
      <c r="G941" t="str">
        <f>VLOOKUP($B:$B,Products!$A:$D,2,FALSE)</f>
        <v>Ethnic Jewelry</v>
      </c>
      <c r="H941" t="str">
        <f>VLOOKUP($B:$B,Products!$A:$D,3,FALSE)</f>
        <v>Precious Items</v>
      </c>
      <c r="I941">
        <f>VLOOKUP($B:$B,Products!$A:$D,4,FALSE)</f>
        <v>4495</v>
      </c>
      <c r="J941" s="4">
        <f>VLOOKUP($A:$A,Sales!$B:$H,6,FALSE)</f>
        <v>45600</v>
      </c>
      <c r="K941" s="9">
        <f>VLOOKUP($A:$A,Sales!$B:$H,4,FALSE)</f>
        <v>2</v>
      </c>
      <c r="L941" s="5">
        <f t="shared" si="14"/>
        <v>8990</v>
      </c>
    </row>
    <row r="942" spans="1:12" x14ac:dyDescent="0.3">
      <c r="A942">
        <v>1257</v>
      </c>
      <c r="B942">
        <v>2002</v>
      </c>
      <c r="C942">
        <v>3012</v>
      </c>
      <c r="D942" t="str">
        <f>VLOOKUP('Sales table'!$A:$A,Customers!$A:$H,2,FALSE)</f>
        <v>Eric Terry</v>
      </c>
      <c r="E942">
        <f>VLOOKUP('Sales table'!$A:$A,Customers!$A:$H,4,FALSE)</f>
        <v>57</v>
      </c>
      <c r="F942" t="str">
        <f>VLOOKUP('Sales table'!$A:$A,Customers!$A:$H,5,FALSE)</f>
        <v>Delhi</v>
      </c>
      <c r="G942" t="str">
        <f>VLOOKUP($B:$B,Products!$A:$D,2,FALSE)</f>
        <v>Saree</v>
      </c>
      <c r="H942" t="str">
        <f>VLOOKUP($B:$B,Products!$A:$D,3,FALSE)</f>
        <v>Clothing</v>
      </c>
      <c r="I942">
        <f>VLOOKUP($B:$B,Products!$A:$D,4,FALSE)</f>
        <v>9534</v>
      </c>
      <c r="J942" s="4">
        <f>VLOOKUP($A:$A,Sales!$B:$H,6,FALSE)</f>
        <v>45583</v>
      </c>
      <c r="K942" s="9">
        <f>VLOOKUP($A:$A,Sales!$B:$H,4,FALSE)</f>
        <v>4</v>
      </c>
      <c r="L942" s="5">
        <f t="shared" si="14"/>
        <v>38136</v>
      </c>
    </row>
    <row r="943" spans="1:12" x14ac:dyDescent="0.3">
      <c r="A943">
        <v>1105</v>
      </c>
      <c r="B943">
        <v>2004</v>
      </c>
      <c r="C943">
        <v>3013</v>
      </c>
      <c r="D943" t="str">
        <f>VLOOKUP('Sales table'!$A:$A,Customers!$A:$H,2,FALSE)</f>
        <v>Randall Odonnell</v>
      </c>
      <c r="E943">
        <f>VLOOKUP('Sales table'!$A:$A,Customers!$A:$H,4,FALSE)</f>
        <v>33</v>
      </c>
      <c r="F943" t="str">
        <f>VLOOKUP('Sales table'!$A:$A,Customers!$A:$H,5,FALSE)</f>
        <v>Mumbai</v>
      </c>
      <c r="G943" t="str">
        <f>VLOOKUP($B:$B,Products!$A:$D,2,FALSE)</f>
        <v>Smartphone</v>
      </c>
      <c r="H943" t="str">
        <f>VLOOKUP($B:$B,Products!$A:$D,3,FALSE)</f>
        <v>Electronics</v>
      </c>
      <c r="I943">
        <f>VLOOKUP($B:$B,Products!$A:$D,4,FALSE)</f>
        <v>4952</v>
      </c>
      <c r="J943" s="4">
        <f>VLOOKUP($A:$A,Sales!$B:$H,6,FALSE)</f>
        <v>45600</v>
      </c>
      <c r="K943" s="9">
        <f>VLOOKUP($A:$A,Sales!$B:$H,4,FALSE)</f>
        <v>1</v>
      </c>
      <c r="L943" s="5">
        <f t="shared" si="14"/>
        <v>4952</v>
      </c>
    </row>
    <row r="944" spans="1:12" x14ac:dyDescent="0.3">
      <c r="A944">
        <v>1145</v>
      </c>
      <c r="B944">
        <v>2016</v>
      </c>
      <c r="C944">
        <v>3007</v>
      </c>
      <c r="D944" t="str">
        <f>VLOOKUP('Sales table'!$A:$A,Customers!$A:$H,2,FALSE)</f>
        <v>Valerie Love</v>
      </c>
      <c r="E944">
        <f>VLOOKUP('Sales table'!$A:$A,Customers!$A:$H,4,FALSE)</f>
        <v>51</v>
      </c>
      <c r="F944" t="str">
        <f>VLOOKUP('Sales table'!$A:$A,Customers!$A:$H,5,FALSE)</f>
        <v>Mumbai</v>
      </c>
      <c r="G944" t="str">
        <f>VLOOKUP($B:$B,Products!$A:$D,2,FALSE)</f>
        <v>Fairy Lights</v>
      </c>
      <c r="H944" t="str">
        <f>VLOOKUP($B:$B,Products!$A:$D,3,FALSE)</f>
        <v>Home Decor</v>
      </c>
      <c r="I944">
        <f>VLOOKUP($B:$B,Products!$A:$D,4,FALSE)</f>
        <v>12242</v>
      </c>
      <c r="J944" s="4">
        <f>VLOOKUP($A:$A,Sales!$B:$H,6,FALSE)</f>
        <v>45610</v>
      </c>
      <c r="K944" s="9">
        <f>VLOOKUP($A:$A,Sales!$B:$H,4,FALSE)</f>
        <v>3</v>
      </c>
      <c r="L944" s="5">
        <f t="shared" si="14"/>
        <v>36726</v>
      </c>
    </row>
    <row r="945" spans="1:12" x14ac:dyDescent="0.3">
      <c r="A945">
        <v>1084</v>
      </c>
      <c r="B945">
        <v>2010</v>
      </c>
      <c r="C945">
        <v>3031</v>
      </c>
      <c r="D945" t="str">
        <f>VLOOKUP('Sales table'!$A:$A,Customers!$A:$H,2,FALSE)</f>
        <v>Sharon Baker</v>
      </c>
      <c r="E945">
        <f>VLOOKUP('Sales table'!$A:$A,Customers!$A:$H,4,FALSE)</f>
        <v>48</v>
      </c>
      <c r="F945" t="str">
        <f>VLOOKUP('Sales table'!$A:$A,Customers!$A:$H,5,FALSE)</f>
        <v>Chennai</v>
      </c>
      <c r="G945" t="str">
        <f>VLOOKUP($B:$B,Products!$A:$D,2,FALSE)</f>
        <v>Chocolate Box</v>
      </c>
      <c r="H945" t="str">
        <f>VLOOKUP($B:$B,Products!$A:$D,3,FALSE)</f>
        <v>Sweets &amp; Gifts</v>
      </c>
      <c r="I945">
        <f>VLOOKUP($B:$B,Products!$A:$D,4,FALSE)</f>
        <v>17909</v>
      </c>
      <c r="J945" s="4">
        <f>VLOOKUP($A:$A,Sales!$B:$H,6,FALSE)</f>
        <v>45613</v>
      </c>
      <c r="K945" s="9">
        <f>VLOOKUP($A:$A,Sales!$B:$H,4,FALSE)</f>
        <v>2</v>
      </c>
      <c r="L945" s="5">
        <f t="shared" si="14"/>
        <v>35818</v>
      </c>
    </row>
    <row r="946" spans="1:12" x14ac:dyDescent="0.3">
      <c r="A946">
        <v>1293</v>
      </c>
      <c r="B946">
        <v>2021</v>
      </c>
      <c r="C946">
        <v>3026</v>
      </c>
      <c r="D946" t="str">
        <f>VLOOKUP('Sales table'!$A:$A,Customers!$A:$H,2,FALSE)</f>
        <v>Debbie Rocha</v>
      </c>
      <c r="E946">
        <f>VLOOKUP('Sales table'!$A:$A,Customers!$A:$H,4,FALSE)</f>
        <v>33</v>
      </c>
      <c r="F946" t="str">
        <f>VLOOKUP('Sales table'!$A:$A,Customers!$A:$H,5,FALSE)</f>
        <v>Hyderabad</v>
      </c>
      <c r="G946" t="str">
        <f>VLOOKUP($B:$B,Products!$A:$D,2,FALSE)</f>
        <v>Smartwatch</v>
      </c>
      <c r="H946" t="str">
        <f>VLOOKUP($B:$B,Products!$A:$D,3,FALSE)</f>
        <v>Electronics</v>
      </c>
      <c r="I946">
        <f>VLOOKUP($B:$B,Products!$A:$D,4,FALSE)</f>
        <v>17586</v>
      </c>
      <c r="J946" s="4">
        <f>VLOOKUP($A:$A,Sales!$B:$H,6,FALSE)</f>
        <v>45580</v>
      </c>
      <c r="K946" s="9">
        <f>VLOOKUP($A:$A,Sales!$B:$H,4,FALSE)</f>
        <v>4</v>
      </c>
      <c r="L946" s="5">
        <f t="shared" si="14"/>
        <v>70344</v>
      </c>
    </row>
    <row r="947" spans="1:12" x14ac:dyDescent="0.3">
      <c r="A947">
        <v>1190</v>
      </c>
      <c r="B947">
        <v>2007</v>
      </c>
      <c r="C947">
        <v>3014</v>
      </c>
      <c r="D947" t="str">
        <f>VLOOKUP('Sales table'!$A:$A,Customers!$A:$H,2,FALSE)</f>
        <v>Mark Stanton</v>
      </c>
      <c r="E947">
        <f>VLOOKUP('Sales table'!$A:$A,Customers!$A:$H,4,FALSE)</f>
        <v>29</v>
      </c>
      <c r="F947" t="str">
        <f>VLOOKUP('Sales table'!$A:$A,Customers!$A:$H,5,FALSE)</f>
        <v>Delhi</v>
      </c>
      <c r="G947" t="str">
        <f>VLOOKUP($B:$B,Products!$A:$D,2,FALSE)</f>
        <v>Gift Hamper</v>
      </c>
      <c r="H947" t="str">
        <f>VLOOKUP($B:$B,Products!$A:$D,3,FALSE)</f>
        <v>Sweets &amp; Gifts</v>
      </c>
      <c r="I947">
        <f>VLOOKUP($B:$B,Products!$A:$D,4,FALSE)</f>
        <v>3412</v>
      </c>
      <c r="J947" s="4">
        <f>VLOOKUP($A:$A,Sales!$B:$H,6,FALSE)</f>
        <v>45609</v>
      </c>
      <c r="K947" s="9">
        <f>VLOOKUP($A:$A,Sales!$B:$H,4,FALSE)</f>
        <v>5</v>
      </c>
      <c r="L947" s="5">
        <f t="shared" si="14"/>
        <v>17060</v>
      </c>
    </row>
    <row r="948" spans="1:12" x14ac:dyDescent="0.3">
      <c r="A948">
        <v>1262</v>
      </c>
      <c r="B948">
        <v>2012</v>
      </c>
      <c r="C948">
        <v>3027</v>
      </c>
      <c r="D948" t="str">
        <f>VLOOKUP('Sales table'!$A:$A,Customers!$A:$H,2,FALSE)</f>
        <v>Ricardo Lewis Phd</v>
      </c>
      <c r="E948">
        <f>VLOOKUP('Sales table'!$A:$A,Customers!$A:$H,4,FALSE)</f>
        <v>27</v>
      </c>
      <c r="F948" t="str">
        <f>VLOOKUP('Sales table'!$A:$A,Customers!$A:$H,5,FALSE)</f>
        <v>Hyderabad</v>
      </c>
      <c r="G948" t="str">
        <f>VLOOKUP($B:$B,Products!$A:$D,2,FALSE)</f>
        <v>Wall Hanging</v>
      </c>
      <c r="H948" t="str">
        <f>VLOOKUP($B:$B,Products!$A:$D,3,FALSE)</f>
        <v>Home Decor</v>
      </c>
      <c r="I948">
        <f>VLOOKUP($B:$B,Products!$A:$D,4,FALSE)</f>
        <v>11867</v>
      </c>
      <c r="J948" s="4">
        <f>VLOOKUP($A:$A,Sales!$B:$H,6,FALSE)</f>
        <v>45611</v>
      </c>
      <c r="K948" s="9">
        <f>VLOOKUP($A:$A,Sales!$B:$H,4,FALSE)</f>
        <v>1</v>
      </c>
      <c r="L948" s="5">
        <f t="shared" si="14"/>
        <v>11867</v>
      </c>
    </row>
    <row r="949" spans="1:12" x14ac:dyDescent="0.3">
      <c r="A949">
        <v>1210</v>
      </c>
      <c r="B949">
        <v>2009</v>
      </c>
      <c r="C949">
        <v>3022</v>
      </c>
      <c r="D949" t="str">
        <f>VLOOKUP('Sales table'!$A:$A,Customers!$A:$H,2,FALSE)</f>
        <v>Laura Wong</v>
      </c>
      <c r="E949">
        <f>VLOOKUP('Sales table'!$A:$A,Customers!$A:$H,4,FALSE)</f>
        <v>55</v>
      </c>
      <c r="F949" t="str">
        <f>VLOOKUP('Sales table'!$A:$A,Customers!$A:$H,5,FALSE)</f>
        <v>Delhi</v>
      </c>
      <c r="G949" t="str">
        <f>VLOOKUP($B:$B,Products!$A:$D,2,FALSE)</f>
        <v>Bluetooth Speaker</v>
      </c>
      <c r="H949" t="str">
        <f>VLOOKUP($B:$B,Products!$A:$D,3,FALSE)</f>
        <v>Electronics</v>
      </c>
      <c r="I949">
        <f>VLOOKUP($B:$B,Products!$A:$D,4,FALSE)</f>
        <v>11047</v>
      </c>
      <c r="J949" s="4">
        <f>VLOOKUP($A:$A,Sales!$B:$H,6,FALSE)</f>
        <v>45600</v>
      </c>
      <c r="K949" s="9">
        <f>VLOOKUP($A:$A,Sales!$B:$H,4,FALSE)</f>
        <v>2</v>
      </c>
      <c r="L949" s="5">
        <f t="shared" si="14"/>
        <v>22094</v>
      </c>
    </row>
    <row r="950" spans="1:12" x14ac:dyDescent="0.3">
      <c r="A950">
        <v>1038</v>
      </c>
      <c r="B950">
        <v>2016</v>
      </c>
      <c r="C950">
        <v>3017</v>
      </c>
      <c r="D950" t="str">
        <f>VLOOKUP('Sales table'!$A:$A,Customers!$A:$H,2,FALSE)</f>
        <v>Eric Escobar</v>
      </c>
      <c r="E950">
        <f>VLOOKUP('Sales table'!$A:$A,Customers!$A:$H,4,FALSE)</f>
        <v>64</v>
      </c>
      <c r="F950" t="str">
        <f>VLOOKUP('Sales table'!$A:$A,Customers!$A:$H,5,FALSE)</f>
        <v>Pune</v>
      </c>
      <c r="G950" t="str">
        <f>VLOOKUP($B:$B,Products!$A:$D,2,FALSE)</f>
        <v>Fairy Lights</v>
      </c>
      <c r="H950" t="str">
        <f>VLOOKUP($B:$B,Products!$A:$D,3,FALSE)</f>
        <v>Home Decor</v>
      </c>
      <c r="I950">
        <f>VLOOKUP($B:$B,Products!$A:$D,4,FALSE)</f>
        <v>12242</v>
      </c>
      <c r="J950" s="4">
        <f>VLOOKUP($A:$A,Sales!$B:$H,6,FALSE)</f>
        <v>45604</v>
      </c>
      <c r="K950" s="9">
        <f>VLOOKUP($A:$A,Sales!$B:$H,4,FALSE)</f>
        <v>4</v>
      </c>
      <c r="L950" s="5">
        <f t="shared" si="14"/>
        <v>48968</v>
      </c>
    </row>
    <row r="951" spans="1:12" x14ac:dyDescent="0.3">
      <c r="A951">
        <v>1015</v>
      </c>
      <c r="B951">
        <v>2025</v>
      </c>
      <c r="C951">
        <v>3008</v>
      </c>
      <c r="D951" t="str">
        <f>VLOOKUP('Sales table'!$A:$A,Customers!$A:$H,2,FALSE)</f>
        <v>Jennifer Moore</v>
      </c>
      <c r="E951">
        <f>VLOOKUP('Sales table'!$A:$A,Customers!$A:$H,4,FALSE)</f>
        <v>30</v>
      </c>
      <c r="F951" t="str">
        <f>VLOOKUP('Sales table'!$A:$A,Customers!$A:$H,5,FALSE)</f>
        <v>Chennai</v>
      </c>
      <c r="G951" t="str">
        <f>VLOOKUP($B:$B,Products!$A:$D,2,FALSE)</f>
        <v>Handbag</v>
      </c>
      <c r="H951" t="str">
        <f>VLOOKUP($B:$B,Products!$A:$D,3,FALSE)</f>
        <v>Accessories</v>
      </c>
      <c r="I951">
        <f>VLOOKUP($B:$B,Products!$A:$D,4,FALSE)</f>
        <v>17019</v>
      </c>
      <c r="J951" s="4">
        <f>VLOOKUP($A:$A,Sales!$B:$H,6,FALSE)</f>
        <v>45605</v>
      </c>
      <c r="K951" s="9">
        <f>VLOOKUP($A:$A,Sales!$B:$H,4,FALSE)</f>
        <v>3</v>
      </c>
      <c r="L951" s="5">
        <f t="shared" si="14"/>
        <v>51057</v>
      </c>
    </row>
    <row r="952" spans="1:12" x14ac:dyDescent="0.3">
      <c r="A952">
        <v>1207</v>
      </c>
      <c r="B952">
        <v>2017</v>
      </c>
      <c r="C952">
        <v>3031</v>
      </c>
      <c r="D952" t="str">
        <f>VLOOKUP('Sales table'!$A:$A,Customers!$A:$H,2,FALSE)</f>
        <v>Jeffrey Curtis</v>
      </c>
      <c r="E952">
        <f>VLOOKUP('Sales table'!$A:$A,Customers!$A:$H,4,FALSE)</f>
        <v>26</v>
      </c>
      <c r="F952" t="str">
        <f>VLOOKUP('Sales table'!$A:$A,Customers!$A:$H,5,FALSE)</f>
        <v>Mumbai</v>
      </c>
      <c r="G952" t="str">
        <f>VLOOKUP($B:$B,Products!$A:$D,2,FALSE)</f>
        <v>Handmade Pottery</v>
      </c>
      <c r="H952" t="str">
        <f>VLOOKUP($B:$B,Products!$A:$D,3,FALSE)</f>
        <v>Home Decor</v>
      </c>
      <c r="I952">
        <f>VLOOKUP($B:$B,Products!$A:$D,4,FALSE)</f>
        <v>8186</v>
      </c>
      <c r="J952" s="4">
        <f>VLOOKUP($A:$A,Sales!$B:$H,6,FALSE)</f>
        <v>45596</v>
      </c>
      <c r="K952" s="9">
        <f>VLOOKUP($A:$A,Sales!$B:$H,4,FALSE)</f>
        <v>1</v>
      </c>
      <c r="L952" s="5">
        <f t="shared" si="14"/>
        <v>8186</v>
      </c>
    </row>
    <row r="953" spans="1:12" x14ac:dyDescent="0.3">
      <c r="A953">
        <v>1009</v>
      </c>
      <c r="B953">
        <v>2007</v>
      </c>
      <c r="C953">
        <v>3002</v>
      </c>
      <c r="D953" t="str">
        <f>VLOOKUP('Sales table'!$A:$A,Customers!$A:$H,2,FALSE)</f>
        <v>Kayla Long</v>
      </c>
      <c r="E953">
        <f>VLOOKUP('Sales table'!$A:$A,Customers!$A:$H,4,FALSE)</f>
        <v>57</v>
      </c>
      <c r="F953" t="str">
        <f>VLOOKUP('Sales table'!$A:$A,Customers!$A:$H,5,FALSE)</f>
        <v>Pune</v>
      </c>
      <c r="G953" t="str">
        <f>VLOOKUP($B:$B,Products!$A:$D,2,FALSE)</f>
        <v>Gift Hamper</v>
      </c>
      <c r="H953" t="str">
        <f>VLOOKUP($B:$B,Products!$A:$D,3,FALSE)</f>
        <v>Sweets &amp; Gifts</v>
      </c>
      <c r="I953">
        <f>VLOOKUP($B:$B,Products!$A:$D,4,FALSE)</f>
        <v>3412</v>
      </c>
      <c r="J953" s="4">
        <f>VLOOKUP($A:$A,Sales!$B:$H,6,FALSE)</f>
        <v>45601</v>
      </c>
      <c r="K953" s="9">
        <f>VLOOKUP($A:$A,Sales!$B:$H,4,FALSE)</f>
        <v>2</v>
      </c>
      <c r="L953" s="5">
        <f t="shared" si="14"/>
        <v>6824</v>
      </c>
    </row>
    <row r="954" spans="1:12" x14ac:dyDescent="0.3">
      <c r="A954">
        <v>1223</v>
      </c>
      <c r="B954">
        <v>2017</v>
      </c>
      <c r="C954">
        <v>3010</v>
      </c>
      <c r="D954" t="str">
        <f>VLOOKUP('Sales table'!$A:$A,Customers!$A:$H,2,FALSE)</f>
        <v>Barry Wilson</v>
      </c>
      <c r="E954">
        <f>VLOOKUP('Sales table'!$A:$A,Customers!$A:$H,4,FALSE)</f>
        <v>54</v>
      </c>
      <c r="F954" t="str">
        <f>VLOOKUP('Sales table'!$A:$A,Customers!$A:$H,5,FALSE)</f>
        <v>Chennai</v>
      </c>
      <c r="G954" t="str">
        <f>VLOOKUP($B:$B,Products!$A:$D,2,FALSE)</f>
        <v>Handmade Pottery</v>
      </c>
      <c r="H954" t="str">
        <f>VLOOKUP($B:$B,Products!$A:$D,3,FALSE)</f>
        <v>Home Decor</v>
      </c>
      <c r="I954">
        <f>VLOOKUP($B:$B,Products!$A:$D,4,FALSE)</f>
        <v>8186</v>
      </c>
      <c r="J954" s="4">
        <f>VLOOKUP($A:$A,Sales!$B:$H,6,FALSE)</f>
        <v>45581</v>
      </c>
      <c r="K954" s="9">
        <f>VLOOKUP($A:$A,Sales!$B:$H,4,FALSE)</f>
        <v>4</v>
      </c>
      <c r="L954" s="5">
        <f t="shared" si="14"/>
        <v>32744</v>
      </c>
    </row>
    <row r="955" spans="1:12" x14ac:dyDescent="0.3">
      <c r="A955">
        <v>1058</v>
      </c>
      <c r="B955">
        <v>2017</v>
      </c>
      <c r="C955">
        <v>3006</v>
      </c>
      <c r="D955" t="str">
        <f>VLOOKUP('Sales table'!$A:$A,Customers!$A:$H,2,FALSE)</f>
        <v>Jo Roberson</v>
      </c>
      <c r="E955">
        <f>VLOOKUP('Sales table'!$A:$A,Customers!$A:$H,4,FALSE)</f>
        <v>44</v>
      </c>
      <c r="F955" t="str">
        <f>VLOOKUP('Sales table'!$A:$A,Customers!$A:$H,5,FALSE)</f>
        <v>Chennai</v>
      </c>
      <c r="G955" t="str">
        <f>VLOOKUP($B:$B,Products!$A:$D,2,FALSE)</f>
        <v>Handmade Pottery</v>
      </c>
      <c r="H955" t="str">
        <f>VLOOKUP($B:$B,Products!$A:$D,3,FALSE)</f>
        <v>Home Decor</v>
      </c>
      <c r="I955">
        <f>VLOOKUP($B:$B,Products!$A:$D,4,FALSE)</f>
        <v>8186</v>
      </c>
      <c r="J955" s="4">
        <f>VLOOKUP($A:$A,Sales!$B:$H,6,FALSE)</f>
        <v>45580</v>
      </c>
      <c r="K955" s="9">
        <f>VLOOKUP($A:$A,Sales!$B:$H,4,FALSE)</f>
        <v>5</v>
      </c>
      <c r="L955" s="5">
        <f t="shared" si="14"/>
        <v>40930</v>
      </c>
    </row>
    <row r="956" spans="1:12" x14ac:dyDescent="0.3">
      <c r="A956">
        <v>1062</v>
      </c>
      <c r="B956">
        <v>2001</v>
      </c>
      <c r="C956">
        <v>3007</v>
      </c>
      <c r="D956" t="str">
        <f>VLOOKUP('Sales table'!$A:$A,Customers!$A:$H,2,FALSE)</f>
        <v>William Murphy</v>
      </c>
      <c r="E956">
        <f>VLOOKUP('Sales table'!$A:$A,Customers!$A:$H,4,FALSE)</f>
        <v>34</v>
      </c>
      <c r="F956" t="str">
        <f>VLOOKUP('Sales table'!$A:$A,Customers!$A:$H,5,FALSE)</f>
        <v>Chennai</v>
      </c>
      <c r="G956" t="str">
        <f>VLOOKUP($B:$B,Products!$A:$D,2,FALSE)</f>
        <v>Sweets Box</v>
      </c>
      <c r="H956" t="str">
        <f>VLOOKUP($B:$B,Products!$A:$D,3,FALSE)</f>
        <v>Sweets &amp; Gifts</v>
      </c>
      <c r="I956">
        <f>VLOOKUP($B:$B,Products!$A:$D,4,FALSE)</f>
        <v>7228</v>
      </c>
      <c r="J956" s="4">
        <f>VLOOKUP($A:$A,Sales!$B:$H,6,FALSE)</f>
        <v>45590</v>
      </c>
      <c r="K956" s="9">
        <f>VLOOKUP($A:$A,Sales!$B:$H,4,FALSE)</f>
        <v>1</v>
      </c>
      <c r="L956" s="5">
        <f t="shared" si="14"/>
        <v>7228</v>
      </c>
    </row>
    <row r="957" spans="1:12" x14ac:dyDescent="0.3">
      <c r="A957">
        <v>1245</v>
      </c>
      <c r="B957">
        <v>2025</v>
      </c>
      <c r="C957">
        <v>3012</v>
      </c>
      <c r="D957" t="str">
        <f>VLOOKUP('Sales table'!$A:$A,Customers!$A:$H,2,FALSE)</f>
        <v>Donna Wheeler</v>
      </c>
      <c r="E957">
        <f>VLOOKUP('Sales table'!$A:$A,Customers!$A:$H,4,FALSE)</f>
        <v>61</v>
      </c>
      <c r="F957" t="str">
        <f>VLOOKUP('Sales table'!$A:$A,Customers!$A:$H,5,FALSE)</f>
        <v>Hyderabad</v>
      </c>
      <c r="G957" t="str">
        <f>VLOOKUP($B:$B,Products!$A:$D,2,FALSE)</f>
        <v>Handbag</v>
      </c>
      <c r="H957" t="str">
        <f>VLOOKUP($B:$B,Products!$A:$D,3,FALSE)</f>
        <v>Accessories</v>
      </c>
      <c r="I957">
        <f>VLOOKUP($B:$B,Products!$A:$D,4,FALSE)</f>
        <v>17019</v>
      </c>
      <c r="J957" s="4">
        <f>VLOOKUP($A:$A,Sales!$B:$H,6,FALSE)</f>
        <v>45576</v>
      </c>
      <c r="K957" s="9">
        <f>VLOOKUP($A:$A,Sales!$B:$H,4,FALSE)</f>
        <v>4</v>
      </c>
      <c r="L957" s="5">
        <f t="shared" si="14"/>
        <v>68076</v>
      </c>
    </row>
    <row r="958" spans="1:12" x14ac:dyDescent="0.3">
      <c r="A958">
        <v>1198</v>
      </c>
      <c r="B958">
        <v>2013</v>
      </c>
      <c r="C958">
        <v>3019</v>
      </c>
      <c r="D958" t="str">
        <f>VLOOKUP('Sales table'!$A:$A,Customers!$A:$H,2,FALSE)</f>
        <v>Eric Lopez</v>
      </c>
      <c r="E958">
        <f>VLOOKUP('Sales table'!$A:$A,Customers!$A:$H,4,FALSE)</f>
        <v>60</v>
      </c>
      <c r="F958" t="str">
        <f>VLOOKUP('Sales table'!$A:$A,Customers!$A:$H,5,FALSE)</f>
        <v>Bangalore</v>
      </c>
      <c r="G958" t="str">
        <f>VLOOKUP($B:$B,Products!$A:$D,2,FALSE)</f>
        <v>Silver Coin</v>
      </c>
      <c r="H958" t="str">
        <f>VLOOKUP($B:$B,Products!$A:$D,3,FALSE)</f>
        <v>Precious Items</v>
      </c>
      <c r="I958">
        <f>VLOOKUP($B:$B,Products!$A:$D,4,FALSE)</f>
        <v>11845</v>
      </c>
      <c r="J958" s="4">
        <f>VLOOKUP($A:$A,Sales!$B:$H,6,FALSE)</f>
        <v>45575</v>
      </c>
      <c r="K958" s="9">
        <f>VLOOKUP($A:$A,Sales!$B:$H,4,FALSE)</f>
        <v>1</v>
      </c>
      <c r="L958" s="5">
        <f t="shared" si="14"/>
        <v>11845</v>
      </c>
    </row>
    <row r="959" spans="1:12" x14ac:dyDescent="0.3">
      <c r="A959">
        <v>1144</v>
      </c>
      <c r="B959">
        <v>2013</v>
      </c>
      <c r="C959">
        <v>3026</v>
      </c>
      <c r="D959" t="str">
        <f>VLOOKUP('Sales table'!$A:$A,Customers!$A:$H,2,FALSE)</f>
        <v>Amanda Henry</v>
      </c>
      <c r="E959">
        <f>VLOOKUP('Sales table'!$A:$A,Customers!$A:$H,4,FALSE)</f>
        <v>63</v>
      </c>
      <c r="F959" t="str">
        <f>VLOOKUP('Sales table'!$A:$A,Customers!$A:$H,5,FALSE)</f>
        <v>Hyderabad</v>
      </c>
      <c r="G959" t="str">
        <f>VLOOKUP($B:$B,Products!$A:$D,2,FALSE)</f>
        <v>Silver Coin</v>
      </c>
      <c r="H959" t="str">
        <f>VLOOKUP($B:$B,Products!$A:$D,3,FALSE)</f>
        <v>Precious Items</v>
      </c>
      <c r="I959">
        <f>VLOOKUP($B:$B,Products!$A:$D,4,FALSE)</f>
        <v>11845</v>
      </c>
      <c r="J959" s="4">
        <f>VLOOKUP($A:$A,Sales!$B:$H,6,FALSE)</f>
        <v>45595</v>
      </c>
      <c r="K959" s="9">
        <f>VLOOKUP($A:$A,Sales!$B:$H,4,FALSE)</f>
        <v>5</v>
      </c>
      <c r="L959" s="5">
        <f t="shared" si="14"/>
        <v>59225</v>
      </c>
    </row>
    <row r="960" spans="1:12" x14ac:dyDescent="0.3">
      <c r="A960">
        <v>1081</v>
      </c>
      <c r="B960">
        <v>2002</v>
      </c>
      <c r="C960">
        <v>3034</v>
      </c>
      <c r="D960" t="str">
        <f>VLOOKUP('Sales table'!$A:$A,Customers!$A:$H,2,FALSE)</f>
        <v>Lori Cox</v>
      </c>
      <c r="E960">
        <f>VLOOKUP('Sales table'!$A:$A,Customers!$A:$H,4,FALSE)</f>
        <v>59</v>
      </c>
      <c r="F960" t="str">
        <f>VLOOKUP('Sales table'!$A:$A,Customers!$A:$H,5,FALSE)</f>
        <v>Mumbai</v>
      </c>
      <c r="G960" t="str">
        <f>VLOOKUP($B:$B,Products!$A:$D,2,FALSE)</f>
        <v>Saree</v>
      </c>
      <c r="H960" t="str">
        <f>VLOOKUP($B:$B,Products!$A:$D,3,FALSE)</f>
        <v>Clothing</v>
      </c>
      <c r="I960">
        <f>VLOOKUP($B:$B,Products!$A:$D,4,FALSE)</f>
        <v>9534</v>
      </c>
      <c r="J960" s="4">
        <f>VLOOKUP($A:$A,Sales!$B:$H,6,FALSE)</f>
        <v>45598</v>
      </c>
      <c r="K960" s="9">
        <f>VLOOKUP($A:$A,Sales!$B:$H,4,FALSE)</f>
        <v>4</v>
      </c>
      <c r="L960" s="5">
        <f t="shared" si="14"/>
        <v>38136</v>
      </c>
    </row>
    <row r="961" spans="1:12" x14ac:dyDescent="0.3">
      <c r="A961">
        <v>1060</v>
      </c>
      <c r="B961">
        <v>2011</v>
      </c>
      <c r="C961">
        <v>3018</v>
      </c>
      <c r="D961" t="str">
        <f>VLOOKUP('Sales table'!$A:$A,Customers!$A:$H,2,FALSE)</f>
        <v>Kayla Aguilar</v>
      </c>
      <c r="E961">
        <f>VLOOKUP('Sales table'!$A:$A,Customers!$A:$H,4,FALSE)</f>
        <v>27</v>
      </c>
      <c r="F961" t="str">
        <f>VLOOKUP('Sales table'!$A:$A,Customers!$A:$H,5,FALSE)</f>
        <v>Hyderabad</v>
      </c>
      <c r="G961" t="str">
        <f>VLOOKUP($B:$B,Products!$A:$D,2,FALSE)</f>
        <v>Festive Thali</v>
      </c>
      <c r="H961" t="str">
        <f>VLOOKUP($B:$B,Products!$A:$D,3,FALSE)</f>
        <v>Other</v>
      </c>
      <c r="I961">
        <f>VLOOKUP($B:$B,Products!$A:$D,4,FALSE)</f>
        <v>7481</v>
      </c>
      <c r="J961" s="4">
        <f>VLOOKUP($A:$A,Sales!$B:$H,6,FALSE)</f>
        <v>45585</v>
      </c>
      <c r="K961" s="9">
        <f>VLOOKUP($A:$A,Sales!$B:$H,4,FALSE)</f>
        <v>5</v>
      </c>
      <c r="L961" s="5">
        <f t="shared" si="14"/>
        <v>37405</v>
      </c>
    </row>
    <row r="962" spans="1:12" x14ac:dyDescent="0.3">
      <c r="A962">
        <v>1188</v>
      </c>
      <c r="B962">
        <v>2021</v>
      </c>
      <c r="C962">
        <v>3022</v>
      </c>
      <c r="D962" t="str">
        <f>VLOOKUP('Sales table'!$A:$A,Customers!$A:$H,2,FALSE)</f>
        <v>Timothy Graham</v>
      </c>
      <c r="E962">
        <f>VLOOKUP('Sales table'!$A:$A,Customers!$A:$H,4,FALSE)</f>
        <v>33</v>
      </c>
      <c r="F962" t="str">
        <f>VLOOKUP('Sales table'!$A:$A,Customers!$A:$H,5,FALSE)</f>
        <v>Kolkata</v>
      </c>
      <c r="G962" t="str">
        <f>VLOOKUP($B:$B,Products!$A:$D,2,FALSE)</f>
        <v>Smartwatch</v>
      </c>
      <c r="H962" t="str">
        <f>VLOOKUP($B:$B,Products!$A:$D,3,FALSE)</f>
        <v>Electronics</v>
      </c>
      <c r="I962">
        <f>VLOOKUP($B:$B,Products!$A:$D,4,FALSE)</f>
        <v>17586</v>
      </c>
      <c r="J962" s="4">
        <f>VLOOKUP($A:$A,Sales!$B:$H,6,FALSE)</f>
        <v>45581</v>
      </c>
      <c r="K962" s="9">
        <f>VLOOKUP($A:$A,Sales!$B:$H,4,FALSE)</f>
        <v>3</v>
      </c>
      <c r="L962" s="5">
        <f t="shared" si="14"/>
        <v>52758</v>
      </c>
    </row>
    <row r="963" spans="1:12" x14ac:dyDescent="0.3">
      <c r="A963">
        <v>1058</v>
      </c>
      <c r="B963">
        <v>2002</v>
      </c>
      <c r="C963">
        <v>3029</v>
      </c>
      <c r="D963" t="str">
        <f>VLOOKUP('Sales table'!$A:$A,Customers!$A:$H,2,FALSE)</f>
        <v>Jo Roberson</v>
      </c>
      <c r="E963">
        <f>VLOOKUP('Sales table'!$A:$A,Customers!$A:$H,4,FALSE)</f>
        <v>44</v>
      </c>
      <c r="F963" t="str">
        <f>VLOOKUP('Sales table'!$A:$A,Customers!$A:$H,5,FALSE)</f>
        <v>Chennai</v>
      </c>
      <c r="G963" t="str">
        <f>VLOOKUP($B:$B,Products!$A:$D,2,FALSE)</f>
        <v>Saree</v>
      </c>
      <c r="H963" t="str">
        <f>VLOOKUP($B:$B,Products!$A:$D,3,FALSE)</f>
        <v>Clothing</v>
      </c>
      <c r="I963">
        <f>VLOOKUP($B:$B,Products!$A:$D,4,FALSE)</f>
        <v>9534</v>
      </c>
      <c r="J963" s="4">
        <f>VLOOKUP($A:$A,Sales!$B:$H,6,FALSE)</f>
        <v>45580</v>
      </c>
      <c r="K963" s="9">
        <f>VLOOKUP($A:$A,Sales!$B:$H,4,FALSE)</f>
        <v>5</v>
      </c>
      <c r="L963" s="5">
        <f t="shared" ref="L963:L1001" si="15">I963*K963</f>
        <v>47670</v>
      </c>
    </row>
    <row r="964" spans="1:12" x14ac:dyDescent="0.3">
      <c r="A964">
        <v>1297</v>
      </c>
      <c r="B964">
        <v>2010</v>
      </c>
      <c r="C964">
        <v>3004</v>
      </c>
      <c r="D964" t="str">
        <f>VLOOKUP('Sales table'!$A:$A,Customers!$A:$H,2,FALSE)</f>
        <v>Samantha Mendoza</v>
      </c>
      <c r="E964">
        <f>VLOOKUP('Sales table'!$A:$A,Customers!$A:$H,4,FALSE)</f>
        <v>19</v>
      </c>
      <c r="F964" t="str">
        <f>VLOOKUP('Sales table'!$A:$A,Customers!$A:$H,5,FALSE)</f>
        <v>Pune</v>
      </c>
      <c r="G964" t="str">
        <f>VLOOKUP($B:$B,Products!$A:$D,2,FALSE)</f>
        <v>Chocolate Box</v>
      </c>
      <c r="H964" t="str">
        <f>VLOOKUP($B:$B,Products!$A:$D,3,FALSE)</f>
        <v>Sweets &amp; Gifts</v>
      </c>
      <c r="I964">
        <f>VLOOKUP($B:$B,Products!$A:$D,4,FALSE)</f>
        <v>17909</v>
      </c>
      <c r="J964" s="4">
        <f>VLOOKUP($A:$A,Sales!$B:$H,6,FALSE)</f>
        <v>45601</v>
      </c>
      <c r="K964" s="9">
        <f>VLOOKUP($A:$A,Sales!$B:$H,4,FALSE)</f>
        <v>3</v>
      </c>
      <c r="L964" s="5">
        <f t="shared" si="15"/>
        <v>53727</v>
      </c>
    </row>
    <row r="965" spans="1:12" x14ac:dyDescent="0.3">
      <c r="A965">
        <v>1159</v>
      </c>
      <c r="B965">
        <v>2014</v>
      </c>
      <c r="C965">
        <v>3019</v>
      </c>
      <c r="D965" t="str">
        <f>VLOOKUP('Sales table'!$A:$A,Customers!$A:$H,2,FALSE)</f>
        <v>William Smith</v>
      </c>
      <c r="E965">
        <f>VLOOKUP('Sales table'!$A:$A,Customers!$A:$H,4,FALSE)</f>
        <v>65</v>
      </c>
      <c r="F965" t="str">
        <f>VLOOKUP('Sales table'!$A:$A,Customers!$A:$H,5,FALSE)</f>
        <v>Mumbai</v>
      </c>
      <c r="G965" t="str">
        <f>VLOOKUP($B:$B,Products!$A:$D,2,FALSE)</f>
        <v>Gold Coin</v>
      </c>
      <c r="H965" t="str">
        <f>VLOOKUP($B:$B,Products!$A:$D,3,FALSE)</f>
        <v>Precious Items</v>
      </c>
      <c r="I965">
        <f>VLOOKUP($B:$B,Products!$A:$D,4,FALSE)</f>
        <v>13823</v>
      </c>
      <c r="J965" s="4">
        <f>VLOOKUP($A:$A,Sales!$B:$H,6,FALSE)</f>
        <v>45606</v>
      </c>
      <c r="K965" s="9">
        <f>VLOOKUP($A:$A,Sales!$B:$H,4,FALSE)</f>
        <v>2</v>
      </c>
      <c r="L965" s="5">
        <f t="shared" si="15"/>
        <v>27646</v>
      </c>
    </row>
    <row r="966" spans="1:12" x14ac:dyDescent="0.3">
      <c r="A966">
        <v>1157</v>
      </c>
      <c r="B966">
        <v>2016</v>
      </c>
      <c r="C966">
        <v>3009</v>
      </c>
      <c r="D966" t="str">
        <f>VLOOKUP('Sales table'!$A:$A,Customers!$A:$H,2,FALSE)</f>
        <v>John West</v>
      </c>
      <c r="E966">
        <f>VLOOKUP('Sales table'!$A:$A,Customers!$A:$H,4,FALSE)</f>
        <v>22</v>
      </c>
      <c r="F966" t="str">
        <f>VLOOKUP('Sales table'!$A:$A,Customers!$A:$H,5,FALSE)</f>
        <v>Pune</v>
      </c>
      <c r="G966" t="str">
        <f>VLOOKUP($B:$B,Products!$A:$D,2,FALSE)</f>
        <v>Fairy Lights</v>
      </c>
      <c r="H966" t="str">
        <f>VLOOKUP($B:$B,Products!$A:$D,3,FALSE)</f>
        <v>Home Decor</v>
      </c>
      <c r="I966">
        <f>VLOOKUP($B:$B,Products!$A:$D,4,FALSE)</f>
        <v>12242</v>
      </c>
      <c r="J966" s="4">
        <f>VLOOKUP($A:$A,Sales!$B:$H,6,FALSE)</f>
        <v>45593</v>
      </c>
      <c r="K966" s="9">
        <f>VLOOKUP($A:$A,Sales!$B:$H,4,FALSE)</f>
        <v>2</v>
      </c>
      <c r="L966" s="5">
        <f t="shared" si="15"/>
        <v>24484</v>
      </c>
    </row>
    <row r="967" spans="1:12" x14ac:dyDescent="0.3">
      <c r="A967">
        <v>1046</v>
      </c>
      <c r="B967">
        <v>2023</v>
      </c>
      <c r="C967">
        <v>3009</v>
      </c>
      <c r="D967" t="str">
        <f>VLOOKUP('Sales table'!$A:$A,Customers!$A:$H,2,FALSE)</f>
        <v>Leslie Little</v>
      </c>
      <c r="E967">
        <f>VLOOKUP('Sales table'!$A:$A,Customers!$A:$H,4,FALSE)</f>
        <v>34</v>
      </c>
      <c r="F967" t="str">
        <f>VLOOKUP('Sales table'!$A:$A,Customers!$A:$H,5,FALSE)</f>
        <v>Chennai</v>
      </c>
      <c r="G967" t="str">
        <f>VLOOKUP($B:$B,Products!$A:$D,2,FALSE)</f>
        <v>Kids Wear</v>
      </c>
      <c r="H967" t="str">
        <f>VLOOKUP($B:$B,Products!$A:$D,3,FALSE)</f>
        <v>Clothing</v>
      </c>
      <c r="I967">
        <f>VLOOKUP($B:$B,Products!$A:$D,4,FALSE)</f>
        <v>4794</v>
      </c>
      <c r="J967" s="4">
        <f>VLOOKUP($A:$A,Sales!$B:$H,6,FALSE)</f>
        <v>45610</v>
      </c>
      <c r="K967" s="9">
        <f>VLOOKUP($A:$A,Sales!$B:$H,4,FALSE)</f>
        <v>5</v>
      </c>
      <c r="L967" s="5">
        <f t="shared" si="15"/>
        <v>23970</v>
      </c>
    </row>
    <row r="968" spans="1:12" x14ac:dyDescent="0.3">
      <c r="A968">
        <v>1082</v>
      </c>
      <c r="B968">
        <v>2018</v>
      </c>
      <c r="C968">
        <v>3003</v>
      </c>
      <c r="D968" t="str">
        <f>VLOOKUP('Sales table'!$A:$A,Customers!$A:$H,2,FALSE)</f>
        <v>Sharon Phillips</v>
      </c>
      <c r="E968">
        <f>VLOOKUP('Sales table'!$A:$A,Customers!$A:$H,4,FALSE)</f>
        <v>43</v>
      </c>
      <c r="F968" t="str">
        <f>VLOOKUP('Sales table'!$A:$A,Customers!$A:$H,5,FALSE)</f>
        <v>Bangalore</v>
      </c>
      <c r="G968" t="str">
        <f>VLOOKUP($B:$B,Products!$A:$D,2,FALSE)</f>
        <v>Dry Fruits Pack</v>
      </c>
      <c r="H968" t="str">
        <f>VLOOKUP($B:$B,Products!$A:$D,3,FALSE)</f>
        <v>Sweets &amp; Gifts</v>
      </c>
      <c r="I968">
        <f>VLOOKUP($B:$B,Products!$A:$D,4,FALSE)</f>
        <v>7243</v>
      </c>
      <c r="J968" s="4">
        <f>VLOOKUP($A:$A,Sales!$B:$H,6,FALSE)</f>
        <v>45613</v>
      </c>
      <c r="K968" s="9">
        <f>VLOOKUP($A:$A,Sales!$B:$H,4,FALSE)</f>
        <v>5</v>
      </c>
      <c r="L968" s="5">
        <f t="shared" si="15"/>
        <v>36215</v>
      </c>
    </row>
    <row r="969" spans="1:12" x14ac:dyDescent="0.3">
      <c r="A969">
        <v>1033</v>
      </c>
      <c r="B969">
        <v>2025</v>
      </c>
      <c r="C969">
        <v>3011</v>
      </c>
      <c r="D969" t="str">
        <f>VLOOKUP('Sales table'!$A:$A,Customers!$A:$H,2,FALSE)</f>
        <v>Maria Holt</v>
      </c>
      <c r="E969">
        <f>VLOOKUP('Sales table'!$A:$A,Customers!$A:$H,4,FALSE)</f>
        <v>18</v>
      </c>
      <c r="F969" t="str">
        <f>VLOOKUP('Sales table'!$A:$A,Customers!$A:$H,5,FALSE)</f>
        <v>Bangalore</v>
      </c>
      <c r="G969" t="str">
        <f>VLOOKUP($B:$B,Products!$A:$D,2,FALSE)</f>
        <v>Handbag</v>
      </c>
      <c r="H969" t="str">
        <f>VLOOKUP($B:$B,Products!$A:$D,3,FALSE)</f>
        <v>Accessories</v>
      </c>
      <c r="I969">
        <f>VLOOKUP($B:$B,Products!$A:$D,4,FALSE)</f>
        <v>17019</v>
      </c>
      <c r="J969" s="4">
        <f>VLOOKUP($A:$A,Sales!$B:$H,6,FALSE)</f>
        <v>45614</v>
      </c>
      <c r="K969" s="9">
        <f>VLOOKUP($A:$A,Sales!$B:$H,4,FALSE)</f>
        <v>4</v>
      </c>
      <c r="L969" s="5">
        <f t="shared" si="15"/>
        <v>68076</v>
      </c>
    </row>
    <row r="970" spans="1:12" x14ac:dyDescent="0.3">
      <c r="A970">
        <v>1225</v>
      </c>
      <c r="B970">
        <v>2013</v>
      </c>
      <c r="C970">
        <v>3033</v>
      </c>
      <c r="D970" t="str">
        <f>VLOOKUP('Sales table'!$A:$A,Customers!$A:$H,2,FALSE)</f>
        <v>Robert Perez</v>
      </c>
      <c r="E970">
        <f>VLOOKUP('Sales table'!$A:$A,Customers!$A:$H,4,FALSE)</f>
        <v>39</v>
      </c>
      <c r="F970" t="str">
        <f>VLOOKUP('Sales table'!$A:$A,Customers!$A:$H,5,FALSE)</f>
        <v>Chennai</v>
      </c>
      <c r="G970" t="str">
        <f>VLOOKUP($B:$B,Products!$A:$D,2,FALSE)</f>
        <v>Silver Coin</v>
      </c>
      <c r="H970" t="str">
        <f>VLOOKUP($B:$B,Products!$A:$D,3,FALSE)</f>
        <v>Precious Items</v>
      </c>
      <c r="I970">
        <f>VLOOKUP($B:$B,Products!$A:$D,4,FALSE)</f>
        <v>11845</v>
      </c>
      <c r="J970" s="4">
        <f>VLOOKUP($A:$A,Sales!$B:$H,6,FALSE)</f>
        <v>45578</v>
      </c>
      <c r="K970" s="9">
        <f>VLOOKUP($A:$A,Sales!$B:$H,4,FALSE)</f>
        <v>5</v>
      </c>
      <c r="L970" s="5">
        <f t="shared" si="15"/>
        <v>59225</v>
      </c>
    </row>
    <row r="971" spans="1:12" x14ac:dyDescent="0.3">
      <c r="A971">
        <v>1118</v>
      </c>
      <c r="B971">
        <v>2023</v>
      </c>
      <c r="C971">
        <v>3003</v>
      </c>
      <c r="D971" t="str">
        <f>VLOOKUP('Sales table'!$A:$A,Customers!$A:$H,2,FALSE)</f>
        <v>Jillian Khan</v>
      </c>
      <c r="E971">
        <f>VLOOKUP('Sales table'!$A:$A,Customers!$A:$H,4,FALSE)</f>
        <v>29</v>
      </c>
      <c r="F971" t="str">
        <f>VLOOKUP('Sales table'!$A:$A,Customers!$A:$H,5,FALSE)</f>
        <v>Pune</v>
      </c>
      <c r="G971" t="str">
        <f>VLOOKUP($B:$B,Products!$A:$D,2,FALSE)</f>
        <v>Kids Wear</v>
      </c>
      <c r="H971" t="str">
        <f>VLOOKUP($B:$B,Products!$A:$D,3,FALSE)</f>
        <v>Clothing</v>
      </c>
      <c r="I971">
        <f>VLOOKUP($B:$B,Products!$A:$D,4,FALSE)</f>
        <v>4794</v>
      </c>
      <c r="J971" s="4">
        <f>VLOOKUP($A:$A,Sales!$B:$H,6,FALSE)</f>
        <v>45591</v>
      </c>
      <c r="K971" s="9">
        <f>VLOOKUP($A:$A,Sales!$B:$H,4,FALSE)</f>
        <v>3</v>
      </c>
      <c r="L971" s="5">
        <f t="shared" si="15"/>
        <v>14382</v>
      </c>
    </row>
    <row r="972" spans="1:12" x14ac:dyDescent="0.3">
      <c r="A972">
        <v>1215</v>
      </c>
      <c r="B972">
        <v>2018</v>
      </c>
      <c r="C972">
        <v>3015</v>
      </c>
      <c r="D972" t="str">
        <f>VLOOKUP('Sales table'!$A:$A,Customers!$A:$H,2,FALSE)</f>
        <v>Brent Murphy</v>
      </c>
      <c r="E972">
        <f>VLOOKUP('Sales table'!$A:$A,Customers!$A:$H,4,FALSE)</f>
        <v>57</v>
      </c>
      <c r="F972" t="str">
        <f>VLOOKUP('Sales table'!$A:$A,Customers!$A:$H,5,FALSE)</f>
        <v>Hyderabad</v>
      </c>
      <c r="G972" t="str">
        <f>VLOOKUP($B:$B,Products!$A:$D,2,FALSE)</f>
        <v>Dry Fruits Pack</v>
      </c>
      <c r="H972" t="str">
        <f>VLOOKUP($B:$B,Products!$A:$D,3,FALSE)</f>
        <v>Sweets &amp; Gifts</v>
      </c>
      <c r="I972">
        <f>VLOOKUP($B:$B,Products!$A:$D,4,FALSE)</f>
        <v>7243</v>
      </c>
      <c r="J972" s="4">
        <f>VLOOKUP($A:$A,Sales!$B:$H,6,FALSE)</f>
        <v>45579</v>
      </c>
      <c r="K972" s="9">
        <f>VLOOKUP($A:$A,Sales!$B:$H,4,FALSE)</f>
        <v>2</v>
      </c>
      <c r="L972" s="5">
        <f t="shared" si="15"/>
        <v>14486</v>
      </c>
    </row>
    <row r="973" spans="1:12" x14ac:dyDescent="0.3">
      <c r="A973">
        <v>1172</v>
      </c>
      <c r="B973">
        <v>2017</v>
      </c>
      <c r="C973">
        <v>3028</v>
      </c>
      <c r="D973" t="str">
        <f>VLOOKUP('Sales table'!$A:$A,Customers!$A:$H,2,FALSE)</f>
        <v>Angela Rivera</v>
      </c>
      <c r="E973">
        <f>VLOOKUP('Sales table'!$A:$A,Customers!$A:$H,4,FALSE)</f>
        <v>44</v>
      </c>
      <c r="F973" t="str">
        <f>VLOOKUP('Sales table'!$A:$A,Customers!$A:$H,5,FALSE)</f>
        <v>Mumbai</v>
      </c>
      <c r="G973" t="str">
        <f>VLOOKUP($B:$B,Products!$A:$D,2,FALSE)</f>
        <v>Handmade Pottery</v>
      </c>
      <c r="H973" t="str">
        <f>VLOOKUP($B:$B,Products!$A:$D,3,FALSE)</f>
        <v>Home Decor</v>
      </c>
      <c r="I973">
        <f>VLOOKUP($B:$B,Products!$A:$D,4,FALSE)</f>
        <v>8186</v>
      </c>
      <c r="J973" s="4">
        <f>VLOOKUP($A:$A,Sales!$B:$H,6,FALSE)</f>
        <v>45587</v>
      </c>
      <c r="K973" s="9">
        <f>VLOOKUP($A:$A,Sales!$B:$H,4,FALSE)</f>
        <v>4</v>
      </c>
      <c r="L973" s="5">
        <f t="shared" si="15"/>
        <v>32744</v>
      </c>
    </row>
    <row r="974" spans="1:12" x14ac:dyDescent="0.3">
      <c r="A974">
        <v>1058</v>
      </c>
      <c r="B974">
        <v>2025</v>
      </c>
      <c r="C974">
        <v>3030</v>
      </c>
      <c r="D974" t="str">
        <f>VLOOKUP('Sales table'!$A:$A,Customers!$A:$H,2,FALSE)</f>
        <v>Jo Roberson</v>
      </c>
      <c r="E974">
        <f>VLOOKUP('Sales table'!$A:$A,Customers!$A:$H,4,FALSE)</f>
        <v>44</v>
      </c>
      <c r="F974" t="str">
        <f>VLOOKUP('Sales table'!$A:$A,Customers!$A:$H,5,FALSE)</f>
        <v>Chennai</v>
      </c>
      <c r="G974" t="str">
        <f>VLOOKUP($B:$B,Products!$A:$D,2,FALSE)</f>
        <v>Handbag</v>
      </c>
      <c r="H974" t="str">
        <f>VLOOKUP($B:$B,Products!$A:$D,3,FALSE)</f>
        <v>Accessories</v>
      </c>
      <c r="I974">
        <f>VLOOKUP($B:$B,Products!$A:$D,4,FALSE)</f>
        <v>17019</v>
      </c>
      <c r="J974" s="4">
        <f>VLOOKUP($A:$A,Sales!$B:$H,6,FALSE)</f>
        <v>45580</v>
      </c>
      <c r="K974" s="9">
        <f>VLOOKUP($A:$A,Sales!$B:$H,4,FALSE)</f>
        <v>5</v>
      </c>
      <c r="L974" s="5">
        <f t="shared" si="15"/>
        <v>85095</v>
      </c>
    </row>
    <row r="975" spans="1:12" x14ac:dyDescent="0.3">
      <c r="A975">
        <v>1255</v>
      </c>
      <c r="B975">
        <v>2003</v>
      </c>
      <c r="C975">
        <v>3007</v>
      </c>
      <c r="D975" t="str">
        <f>VLOOKUP('Sales table'!$A:$A,Customers!$A:$H,2,FALSE)</f>
        <v>Sarah Day</v>
      </c>
      <c r="E975">
        <f>VLOOKUP('Sales table'!$A:$A,Customers!$A:$H,4,FALSE)</f>
        <v>48</v>
      </c>
      <c r="F975" t="str">
        <f>VLOOKUP('Sales table'!$A:$A,Customers!$A:$H,5,FALSE)</f>
        <v>Mumbai</v>
      </c>
      <c r="G975" t="str">
        <f>VLOOKUP($B:$B,Products!$A:$D,2,FALSE)</f>
        <v>Kurta</v>
      </c>
      <c r="H975" t="str">
        <f>VLOOKUP($B:$B,Products!$A:$D,3,FALSE)</f>
        <v>Clothing</v>
      </c>
      <c r="I975">
        <f>VLOOKUP($B:$B,Products!$A:$D,4,FALSE)</f>
        <v>13241</v>
      </c>
      <c r="J975" s="4">
        <f>VLOOKUP($A:$A,Sales!$B:$H,6,FALSE)</f>
        <v>45587</v>
      </c>
      <c r="K975" s="9">
        <f>VLOOKUP($A:$A,Sales!$B:$H,4,FALSE)</f>
        <v>4</v>
      </c>
      <c r="L975" s="5">
        <f t="shared" si="15"/>
        <v>52964</v>
      </c>
    </row>
    <row r="976" spans="1:12" x14ac:dyDescent="0.3">
      <c r="A976">
        <v>1224</v>
      </c>
      <c r="B976">
        <v>2021</v>
      </c>
      <c r="C976">
        <v>3024</v>
      </c>
      <c r="D976" t="str">
        <f>VLOOKUP('Sales table'!$A:$A,Customers!$A:$H,2,FALSE)</f>
        <v>Joseph Garrett</v>
      </c>
      <c r="E976">
        <f>VLOOKUP('Sales table'!$A:$A,Customers!$A:$H,4,FALSE)</f>
        <v>58</v>
      </c>
      <c r="F976" t="str">
        <f>VLOOKUP('Sales table'!$A:$A,Customers!$A:$H,5,FALSE)</f>
        <v>Pune</v>
      </c>
      <c r="G976" t="str">
        <f>VLOOKUP($B:$B,Products!$A:$D,2,FALSE)</f>
        <v>Smartwatch</v>
      </c>
      <c r="H976" t="str">
        <f>VLOOKUP($B:$B,Products!$A:$D,3,FALSE)</f>
        <v>Electronics</v>
      </c>
      <c r="I976">
        <f>VLOOKUP($B:$B,Products!$A:$D,4,FALSE)</f>
        <v>17586</v>
      </c>
      <c r="J976" s="4">
        <f>VLOOKUP($A:$A,Sales!$B:$H,6,FALSE)</f>
        <v>45609</v>
      </c>
      <c r="K976" s="9">
        <f>VLOOKUP($A:$A,Sales!$B:$H,4,FALSE)</f>
        <v>2</v>
      </c>
      <c r="L976" s="5">
        <f t="shared" si="15"/>
        <v>35172</v>
      </c>
    </row>
    <row r="977" spans="1:12" x14ac:dyDescent="0.3">
      <c r="A977">
        <v>1137</v>
      </c>
      <c r="B977">
        <v>2021</v>
      </c>
      <c r="C977">
        <v>3017</v>
      </c>
      <c r="D977" t="str">
        <f>VLOOKUP('Sales table'!$A:$A,Customers!$A:$H,2,FALSE)</f>
        <v>Karen Perez</v>
      </c>
      <c r="E977">
        <f>VLOOKUP('Sales table'!$A:$A,Customers!$A:$H,4,FALSE)</f>
        <v>61</v>
      </c>
      <c r="F977" t="str">
        <f>VLOOKUP('Sales table'!$A:$A,Customers!$A:$H,5,FALSE)</f>
        <v>Mumbai</v>
      </c>
      <c r="G977" t="str">
        <f>VLOOKUP($B:$B,Products!$A:$D,2,FALSE)</f>
        <v>Smartwatch</v>
      </c>
      <c r="H977" t="str">
        <f>VLOOKUP($B:$B,Products!$A:$D,3,FALSE)</f>
        <v>Electronics</v>
      </c>
      <c r="I977">
        <f>VLOOKUP($B:$B,Products!$A:$D,4,FALSE)</f>
        <v>17586</v>
      </c>
      <c r="J977" s="4">
        <f>VLOOKUP($A:$A,Sales!$B:$H,6,FALSE)</f>
        <v>45599</v>
      </c>
      <c r="K977" s="9">
        <f>VLOOKUP($A:$A,Sales!$B:$H,4,FALSE)</f>
        <v>4</v>
      </c>
      <c r="L977" s="5">
        <f t="shared" si="15"/>
        <v>70344</v>
      </c>
    </row>
    <row r="978" spans="1:12" x14ac:dyDescent="0.3">
      <c r="A978">
        <v>1256</v>
      </c>
      <c r="B978">
        <v>2008</v>
      </c>
      <c r="C978">
        <v>3019</v>
      </c>
      <c r="D978" t="str">
        <f>VLOOKUP('Sales table'!$A:$A,Customers!$A:$H,2,FALSE)</f>
        <v>Kevin Luna</v>
      </c>
      <c r="E978">
        <f>VLOOKUP('Sales table'!$A:$A,Customers!$A:$H,4,FALSE)</f>
        <v>18</v>
      </c>
      <c r="F978" t="str">
        <f>VLOOKUP('Sales table'!$A:$A,Customers!$A:$H,5,FALSE)</f>
        <v>Bangalore</v>
      </c>
      <c r="G978" t="str">
        <f>VLOOKUP($B:$B,Products!$A:$D,2,FALSE)</f>
        <v>Earthen Diyas</v>
      </c>
      <c r="H978" t="str">
        <f>VLOOKUP($B:$B,Products!$A:$D,3,FALSE)</f>
        <v>Home Decor</v>
      </c>
      <c r="I978">
        <f>VLOOKUP($B:$B,Products!$A:$D,4,FALSE)</f>
        <v>2136</v>
      </c>
      <c r="J978" s="4">
        <f>VLOOKUP($A:$A,Sales!$B:$H,6,FALSE)</f>
        <v>45585</v>
      </c>
      <c r="K978" s="9">
        <f>VLOOKUP($A:$A,Sales!$B:$H,4,FALSE)</f>
        <v>3</v>
      </c>
      <c r="L978" s="5">
        <f t="shared" si="15"/>
        <v>6408</v>
      </c>
    </row>
    <row r="979" spans="1:12" x14ac:dyDescent="0.3">
      <c r="A979">
        <v>1259</v>
      </c>
      <c r="B979">
        <v>2008</v>
      </c>
      <c r="C979">
        <v>3004</v>
      </c>
      <c r="D979" t="str">
        <f>VLOOKUP('Sales table'!$A:$A,Customers!$A:$H,2,FALSE)</f>
        <v>Joshua Mccormick</v>
      </c>
      <c r="E979">
        <f>VLOOKUP('Sales table'!$A:$A,Customers!$A:$H,4,FALSE)</f>
        <v>63</v>
      </c>
      <c r="F979" t="str">
        <f>VLOOKUP('Sales table'!$A:$A,Customers!$A:$H,5,FALSE)</f>
        <v>Mumbai</v>
      </c>
      <c r="G979" t="str">
        <f>VLOOKUP($B:$B,Products!$A:$D,2,FALSE)</f>
        <v>Earthen Diyas</v>
      </c>
      <c r="H979" t="str">
        <f>VLOOKUP($B:$B,Products!$A:$D,3,FALSE)</f>
        <v>Home Decor</v>
      </c>
      <c r="I979">
        <f>VLOOKUP($B:$B,Products!$A:$D,4,FALSE)</f>
        <v>2136</v>
      </c>
      <c r="J979" s="4">
        <f>VLOOKUP($A:$A,Sales!$B:$H,6,FALSE)</f>
        <v>45585</v>
      </c>
      <c r="K979" s="9">
        <f>VLOOKUP($A:$A,Sales!$B:$H,4,FALSE)</f>
        <v>3</v>
      </c>
      <c r="L979" s="5">
        <f t="shared" si="15"/>
        <v>6408</v>
      </c>
    </row>
    <row r="980" spans="1:12" x14ac:dyDescent="0.3">
      <c r="A980">
        <v>1133</v>
      </c>
      <c r="B980">
        <v>2023</v>
      </c>
      <c r="C980">
        <v>3025</v>
      </c>
      <c r="D980" t="str">
        <f>VLOOKUP('Sales table'!$A:$A,Customers!$A:$H,2,FALSE)</f>
        <v>Timothy Hunt</v>
      </c>
      <c r="E980">
        <f>VLOOKUP('Sales table'!$A:$A,Customers!$A:$H,4,FALSE)</f>
        <v>37</v>
      </c>
      <c r="F980" t="str">
        <f>VLOOKUP('Sales table'!$A:$A,Customers!$A:$H,5,FALSE)</f>
        <v>Kolkata</v>
      </c>
      <c r="G980" t="str">
        <f>VLOOKUP($B:$B,Products!$A:$D,2,FALSE)</f>
        <v>Kids Wear</v>
      </c>
      <c r="H980" t="str">
        <f>VLOOKUP($B:$B,Products!$A:$D,3,FALSE)</f>
        <v>Clothing</v>
      </c>
      <c r="I980">
        <f>VLOOKUP($B:$B,Products!$A:$D,4,FALSE)</f>
        <v>4794</v>
      </c>
      <c r="J980" s="4">
        <f>VLOOKUP($A:$A,Sales!$B:$H,6,FALSE)</f>
        <v>45583</v>
      </c>
      <c r="K980" s="9">
        <f>VLOOKUP($A:$A,Sales!$B:$H,4,FALSE)</f>
        <v>4</v>
      </c>
      <c r="L980" s="5">
        <f t="shared" si="15"/>
        <v>19176</v>
      </c>
    </row>
    <row r="981" spans="1:12" x14ac:dyDescent="0.3">
      <c r="A981">
        <v>1272</v>
      </c>
      <c r="B981">
        <v>2020</v>
      </c>
      <c r="C981">
        <v>3017</v>
      </c>
      <c r="D981" t="str">
        <f>VLOOKUP('Sales table'!$A:$A,Customers!$A:$H,2,FALSE)</f>
        <v>John Miller</v>
      </c>
      <c r="E981">
        <f>VLOOKUP('Sales table'!$A:$A,Customers!$A:$H,4,FALSE)</f>
        <v>39</v>
      </c>
      <c r="F981" t="str">
        <f>VLOOKUP('Sales table'!$A:$A,Customers!$A:$H,5,FALSE)</f>
        <v>Kolkata</v>
      </c>
      <c r="G981" t="str">
        <f>VLOOKUP($B:$B,Products!$A:$D,2,FALSE)</f>
        <v>Ethnic Jewelry</v>
      </c>
      <c r="H981" t="str">
        <f>VLOOKUP($B:$B,Products!$A:$D,3,FALSE)</f>
        <v>Precious Items</v>
      </c>
      <c r="I981">
        <f>VLOOKUP($B:$B,Products!$A:$D,4,FALSE)</f>
        <v>4495</v>
      </c>
      <c r="J981" s="4">
        <f>VLOOKUP($A:$A,Sales!$B:$H,6,FALSE)</f>
        <v>45610</v>
      </c>
      <c r="K981" s="9">
        <f>VLOOKUP($A:$A,Sales!$B:$H,4,FALSE)</f>
        <v>2</v>
      </c>
      <c r="L981" s="5">
        <f t="shared" si="15"/>
        <v>8990</v>
      </c>
    </row>
    <row r="982" spans="1:12" x14ac:dyDescent="0.3">
      <c r="A982">
        <v>1190</v>
      </c>
      <c r="B982">
        <v>2009</v>
      </c>
      <c r="C982">
        <v>3031</v>
      </c>
      <c r="D982" t="str">
        <f>VLOOKUP('Sales table'!$A:$A,Customers!$A:$H,2,FALSE)</f>
        <v>Mark Stanton</v>
      </c>
      <c r="E982">
        <f>VLOOKUP('Sales table'!$A:$A,Customers!$A:$H,4,FALSE)</f>
        <v>29</v>
      </c>
      <c r="F982" t="str">
        <f>VLOOKUP('Sales table'!$A:$A,Customers!$A:$H,5,FALSE)</f>
        <v>Delhi</v>
      </c>
      <c r="G982" t="str">
        <f>VLOOKUP($B:$B,Products!$A:$D,2,FALSE)</f>
        <v>Bluetooth Speaker</v>
      </c>
      <c r="H982" t="str">
        <f>VLOOKUP($B:$B,Products!$A:$D,3,FALSE)</f>
        <v>Electronics</v>
      </c>
      <c r="I982">
        <f>VLOOKUP($B:$B,Products!$A:$D,4,FALSE)</f>
        <v>11047</v>
      </c>
      <c r="J982" s="4">
        <f>VLOOKUP($A:$A,Sales!$B:$H,6,FALSE)</f>
        <v>45609</v>
      </c>
      <c r="K982" s="9">
        <f>VLOOKUP($A:$A,Sales!$B:$H,4,FALSE)</f>
        <v>5</v>
      </c>
      <c r="L982" s="5">
        <f t="shared" si="15"/>
        <v>55235</v>
      </c>
    </row>
    <row r="983" spans="1:12" x14ac:dyDescent="0.3">
      <c r="A983">
        <v>1246</v>
      </c>
      <c r="B983">
        <v>2013</v>
      </c>
      <c r="C983">
        <v>3022</v>
      </c>
      <c r="D983" t="str">
        <f>VLOOKUP('Sales table'!$A:$A,Customers!$A:$H,2,FALSE)</f>
        <v>Casey Bailey</v>
      </c>
      <c r="E983">
        <f>VLOOKUP('Sales table'!$A:$A,Customers!$A:$H,4,FALSE)</f>
        <v>18</v>
      </c>
      <c r="F983" t="str">
        <f>VLOOKUP('Sales table'!$A:$A,Customers!$A:$H,5,FALSE)</f>
        <v>Bangalore</v>
      </c>
      <c r="G983" t="str">
        <f>VLOOKUP($B:$B,Products!$A:$D,2,FALSE)</f>
        <v>Silver Coin</v>
      </c>
      <c r="H983" t="str">
        <f>VLOOKUP($B:$B,Products!$A:$D,3,FALSE)</f>
        <v>Precious Items</v>
      </c>
      <c r="I983">
        <f>VLOOKUP($B:$B,Products!$A:$D,4,FALSE)</f>
        <v>11845</v>
      </c>
      <c r="J983" s="4">
        <f>VLOOKUP($A:$A,Sales!$B:$H,6,FALSE)</f>
        <v>45596</v>
      </c>
      <c r="K983" s="9">
        <f>VLOOKUP($A:$A,Sales!$B:$H,4,FALSE)</f>
        <v>2</v>
      </c>
      <c r="L983" s="5">
        <f t="shared" si="15"/>
        <v>23690</v>
      </c>
    </row>
    <row r="984" spans="1:12" x14ac:dyDescent="0.3">
      <c r="A984">
        <v>1109</v>
      </c>
      <c r="B984">
        <v>2018</v>
      </c>
      <c r="C984">
        <v>3005</v>
      </c>
      <c r="D984" t="str">
        <f>VLOOKUP('Sales table'!$A:$A,Customers!$A:$H,2,FALSE)</f>
        <v>Benjamin Blackwell</v>
      </c>
      <c r="E984">
        <f>VLOOKUP('Sales table'!$A:$A,Customers!$A:$H,4,FALSE)</f>
        <v>21</v>
      </c>
      <c r="F984" t="str">
        <f>VLOOKUP('Sales table'!$A:$A,Customers!$A:$H,5,FALSE)</f>
        <v>Delhi</v>
      </c>
      <c r="G984" t="str">
        <f>VLOOKUP($B:$B,Products!$A:$D,2,FALSE)</f>
        <v>Dry Fruits Pack</v>
      </c>
      <c r="H984" t="str">
        <f>VLOOKUP($B:$B,Products!$A:$D,3,FALSE)</f>
        <v>Sweets &amp; Gifts</v>
      </c>
      <c r="I984">
        <f>VLOOKUP($B:$B,Products!$A:$D,4,FALSE)</f>
        <v>7243</v>
      </c>
      <c r="J984" s="4">
        <f>VLOOKUP($A:$A,Sales!$B:$H,6,FALSE)</f>
        <v>45578</v>
      </c>
      <c r="K984" s="9">
        <f>VLOOKUP($A:$A,Sales!$B:$H,4,FALSE)</f>
        <v>2</v>
      </c>
      <c r="L984" s="5">
        <f t="shared" si="15"/>
        <v>14486</v>
      </c>
    </row>
    <row r="985" spans="1:12" x14ac:dyDescent="0.3">
      <c r="A985">
        <v>1184</v>
      </c>
      <c r="B985">
        <v>2012</v>
      </c>
      <c r="C985">
        <v>3022</v>
      </c>
      <c r="D985" t="str">
        <f>VLOOKUP('Sales table'!$A:$A,Customers!$A:$H,2,FALSE)</f>
        <v>Scott Short</v>
      </c>
      <c r="E985">
        <f>VLOOKUP('Sales table'!$A:$A,Customers!$A:$H,4,FALSE)</f>
        <v>41</v>
      </c>
      <c r="F985" t="str">
        <f>VLOOKUP('Sales table'!$A:$A,Customers!$A:$H,5,FALSE)</f>
        <v>Hyderabad</v>
      </c>
      <c r="G985" t="str">
        <f>VLOOKUP($B:$B,Products!$A:$D,2,FALSE)</f>
        <v>Wall Hanging</v>
      </c>
      <c r="H985" t="str">
        <f>VLOOKUP($B:$B,Products!$A:$D,3,FALSE)</f>
        <v>Home Decor</v>
      </c>
      <c r="I985">
        <f>VLOOKUP($B:$B,Products!$A:$D,4,FALSE)</f>
        <v>11867</v>
      </c>
      <c r="J985" s="4">
        <f>VLOOKUP($A:$A,Sales!$B:$H,6,FALSE)</f>
        <v>45575</v>
      </c>
      <c r="K985" s="9">
        <f>VLOOKUP($A:$A,Sales!$B:$H,4,FALSE)</f>
        <v>1</v>
      </c>
      <c r="L985" s="5">
        <f t="shared" si="15"/>
        <v>11867</v>
      </c>
    </row>
    <row r="986" spans="1:12" x14ac:dyDescent="0.3">
      <c r="A986">
        <v>1136</v>
      </c>
      <c r="B986">
        <v>2011</v>
      </c>
      <c r="C986">
        <v>3019</v>
      </c>
      <c r="D986" t="str">
        <f>VLOOKUP('Sales table'!$A:$A,Customers!$A:$H,2,FALSE)</f>
        <v>Brooke Oliver</v>
      </c>
      <c r="E986">
        <f>VLOOKUP('Sales table'!$A:$A,Customers!$A:$H,4,FALSE)</f>
        <v>30</v>
      </c>
      <c r="F986" t="str">
        <f>VLOOKUP('Sales table'!$A:$A,Customers!$A:$H,5,FALSE)</f>
        <v>Chennai</v>
      </c>
      <c r="G986" t="str">
        <f>VLOOKUP($B:$B,Products!$A:$D,2,FALSE)</f>
        <v>Festive Thali</v>
      </c>
      <c r="H986" t="str">
        <f>VLOOKUP($B:$B,Products!$A:$D,3,FALSE)</f>
        <v>Other</v>
      </c>
      <c r="I986">
        <f>VLOOKUP($B:$B,Products!$A:$D,4,FALSE)</f>
        <v>7481</v>
      </c>
      <c r="J986" s="4">
        <f>VLOOKUP($A:$A,Sales!$B:$H,6,FALSE)</f>
        <v>45587</v>
      </c>
      <c r="K986" s="9">
        <f>VLOOKUP($A:$A,Sales!$B:$H,4,FALSE)</f>
        <v>4</v>
      </c>
      <c r="L986" s="5">
        <f t="shared" si="15"/>
        <v>29924</v>
      </c>
    </row>
    <row r="987" spans="1:12" x14ac:dyDescent="0.3">
      <c r="A987">
        <v>1283</v>
      </c>
      <c r="B987">
        <v>2020</v>
      </c>
      <c r="C987">
        <v>3002</v>
      </c>
      <c r="D987" t="str">
        <f>VLOOKUP('Sales table'!$A:$A,Customers!$A:$H,2,FALSE)</f>
        <v>Gregory Richardson</v>
      </c>
      <c r="E987">
        <f>VLOOKUP('Sales table'!$A:$A,Customers!$A:$H,4,FALSE)</f>
        <v>62</v>
      </c>
      <c r="F987" t="str">
        <f>VLOOKUP('Sales table'!$A:$A,Customers!$A:$H,5,FALSE)</f>
        <v>Chennai</v>
      </c>
      <c r="G987" t="str">
        <f>VLOOKUP($B:$B,Products!$A:$D,2,FALSE)</f>
        <v>Ethnic Jewelry</v>
      </c>
      <c r="H987" t="str">
        <f>VLOOKUP($B:$B,Products!$A:$D,3,FALSE)</f>
        <v>Precious Items</v>
      </c>
      <c r="I987">
        <f>VLOOKUP($B:$B,Products!$A:$D,4,FALSE)</f>
        <v>4495</v>
      </c>
      <c r="J987" s="4">
        <f>VLOOKUP($A:$A,Sales!$B:$H,6,FALSE)</f>
        <v>45594</v>
      </c>
      <c r="K987" s="9">
        <f>VLOOKUP($A:$A,Sales!$B:$H,4,FALSE)</f>
        <v>5</v>
      </c>
      <c r="L987" s="5">
        <f t="shared" si="15"/>
        <v>22475</v>
      </c>
    </row>
    <row r="988" spans="1:12" x14ac:dyDescent="0.3">
      <c r="A988">
        <v>1037</v>
      </c>
      <c r="B988">
        <v>2011</v>
      </c>
      <c r="C988">
        <v>3019</v>
      </c>
      <c r="D988" t="str">
        <f>VLOOKUP('Sales table'!$A:$A,Customers!$A:$H,2,FALSE)</f>
        <v>Donald Wells</v>
      </c>
      <c r="E988">
        <f>VLOOKUP('Sales table'!$A:$A,Customers!$A:$H,4,FALSE)</f>
        <v>36</v>
      </c>
      <c r="F988" t="str">
        <f>VLOOKUP('Sales table'!$A:$A,Customers!$A:$H,5,FALSE)</f>
        <v>Delhi</v>
      </c>
      <c r="G988" t="str">
        <f>VLOOKUP($B:$B,Products!$A:$D,2,FALSE)</f>
        <v>Festive Thali</v>
      </c>
      <c r="H988" t="str">
        <f>VLOOKUP($B:$B,Products!$A:$D,3,FALSE)</f>
        <v>Other</v>
      </c>
      <c r="I988">
        <f>VLOOKUP($B:$B,Products!$A:$D,4,FALSE)</f>
        <v>7481</v>
      </c>
      <c r="J988" s="4">
        <f>VLOOKUP($A:$A,Sales!$B:$H,6,FALSE)</f>
        <v>45603</v>
      </c>
      <c r="K988" s="9">
        <f>VLOOKUP($A:$A,Sales!$B:$H,4,FALSE)</f>
        <v>5</v>
      </c>
      <c r="L988" s="5">
        <f t="shared" si="15"/>
        <v>37405</v>
      </c>
    </row>
    <row r="989" spans="1:12" x14ac:dyDescent="0.3">
      <c r="A989">
        <v>1196</v>
      </c>
      <c r="B989">
        <v>2017</v>
      </c>
      <c r="C989">
        <v>3030</v>
      </c>
      <c r="D989" t="str">
        <f>VLOOKUP('Sales table'!$A:$A,Customers!$A:$H,2,FALSE)</f>
        <v>Cynthia Martin</v>
      </c>
      <c r="E989">
        <f>VLOOKUP('Sales table'!$A:$A,Customers!$A:$H,4,FALSE)</f>
        <v>20</v>
      </c>
      <c r="F989" t="str">
        <f>VLOOKUP('Sales table'!$A:$A,Customers!$A:$H,5,FALSE)</f>
        <v>Hyderabad</v>
      </c>
      <c r="G989" t="str">
        <f>VLOOKUP($B:$B,Products!$A:$D,2,FALSE)</f>
        <v>Handmade Pottery</v>
      </c>
      <c r="H989" t="str">
        <f>VLOOKUP($B:$B,Products!$A:$D,3,FALSE)</f>
        <v>Home Decor</v>
      </c>
      <c r="I989">
        <f>VLOOKUP($B:$B,Products!$A:$D,4,FALSE)</f>
        <v>8186</v>
      </c>
      <c r="J989" s="4">
        <f>VLOOKUP($A:$A,Sales!$B:$H,6,FALSE)</f>
        <v>45611</v>
      </c>
      <c r="K989" s="9">
        <f>VLOOKUP($A:$A,Sales!$B:$H,4,FALSE)</f>
        <v>2</v>
      </c>
      <c r="L989" s="5">
        <f t="shared" si="15"/>
        <v>16372</v>
      </c>
    </row>
    <row r="990" spans="1:12" x14ac:dyDescent="0.3">
      <c r="A990">
        <v>1265</v>
      </c>
      <c r="B990">
        <v>2022</v>
      </c>
      <c r="C990">
        <v>3024</v>
      </c>
      <c r="D990" t="str">
        <f>VLOOKUP('Sales table'!$A:$A,Customers!$A:$H,2,FALSE)</f>
        <v>Cynthia Chen</v>
      </c>
      <c r="E990">
        <f>VLOOKUP('Sales table'!$A:$A,Customers!$A:$H,4,FALSE)</f>
        <v>30</v>
      </c>
      <c r="F990" t="str">
        <f>VLOOKUP('Sales table'!$A:$A,Customers!$A:$H,5,FALSE)</f>
        <v>Mumbai</v>
      </c>
      <c r="G990" t="str">
        <f>VLOOKUP($B:$B,Products!$A:$D,2,FALSE)</f>
        <v>Home Decor Statue</v>
      </c>
      <c r="H990" t="str">
        <f>VLOOKUP($B:$B,Products!$A:$D,3,FALSE)</f>
        <v>Home Decor</v>
      </c>
      <c r="I990">
        <f>VLOOKUP($B:$B,Products!$A:$D,4,FALSE)</f>
        <v>17149</v>
      </c>
      <c r="J990" s="4">
        <f>VLOOKUP($A:$A,Sales!$B:$H,6,FALSE)</f>
        <v>45602</v>
      </c>
      <c r="K990" s="9">
        <f>VLOOKUP($A:$A,Sales!$B:$H,4,FALSE)</f>
        <v>2</v>
      </c>
      <c r="L990" s="5">
        <f t="shared" si="15"/>
        <v>34298</v>
      </c>
    </row>
    <row r="991" spans="1:12" x14ac:dyDescent="0.3">
      <c r="A991">
        <v>1067</v>
      </c>
      <c r="B991">
        <v>2020</v>
      </c>
      <c r="C991">
        <v>3006</v>
      </c>
      <c r="D991" t="str">
        <f>VLOOKUP('Sales table'!$A:$A,Customers!$A:$H,2,FALSE)</f>
        <v>Carrie Landry</v>
      </c>
      <c r="E991">
        <f>VLOOKUP('Sales table'!$A:$A,Customers!$A:$H,4,FALSE)</f>
        <v>39</v>
      </c>
      <c r="F991" t="str">
        <f>VLOOKUP('Sales table'!$A:$A,Customers!$A:$H,5,FALSE)</f>
        <v>Bangalore</v>
      </c>
      <c r="G991" t="str">
        <f>VLOOKUP($B:$B,Products!$A:$D,2,FALSE)</f>
        <v>Ethnic Jewelry</v>
      </c>
      <c r="H991" t="str">
        <f>VLOOKUP($B:$B,Products!$A:$D,3,FALSE)</f>
        <v>Precious Items</v>
      </c>
      <c r="I991">
        <f>VLOOKUP($B:$B,Products!$A:$D,4,FALSE)</f>
        <v>4495</v>
      </c>
      <c r="J991" s="4">
        <f>VLOOKUP($A:$A,Sales!$B:$H,6,FALSE)</f>
        <v>45595</v>
      </c>
      <c r="K991" s="9">
        <f>VLOOKUP($A:$A,Sales!$B:$H,4,FALSE)</f>
        <v>5</v>
      </c>
      <c r="L991" s="5">
        <f t="shared" si="15"/>
        <v>22475</v>
      </c>
    </row>
    <row r="992" spans="1:12" x14ac:dyDescent="0.3">
      <c r="A992">
        <v>1174</v>
      </c>
      <c r="B992">
        <v>2022</v>
      </c>
      <c r="C992">
        <v>3022</v>
      </c>
      <c r="D992" t="str">
        <f>VLOOKUP('Sales table'!$A:$A,Customers!$A:$H,2,FALSE)</f>
        <v>Eric West</v>
      </c>
      <c r="E992">
        <f>VLOOKUP('Sales table'!$A:$A,Customers!$A:$H,4,FALSE)</f>
        <v>23</v>
      </c>
      <c r="F992" t="str">
        <f>VLOOKUP('Sales table'!$A:$A,Customers!$A:$H,5,FALSE)</f>
        <v>Hyderabad</v>
      </c>
      <c r="G992" t="str">
        <f>VLOOKUP($B:$B,Products!$A:$D,2,FALSE)</f>
        <v>Home Decor Statue</v>
      </c>
      <c r="H992" t="str">
        <f>VLOOKUP($B:$B,Products!$A:$D,3,FALSE)</f>
        <v>Home Decor</v>
      </c>
      <c r="I992">
        <f>VLOOKUP($B:$B,Products!$A:$D,4,FALSE)</f>
        <v>17149</v>
      </c>
      <c r="J992" s="4">
        <f>VLOOKUP($A:$A,Sales!$B:$H,6,FALSE)</f>
        <v>45581</v>
      </c>
      <c r="K992" s="9">
        <f>VLOOKUP($A:$A,Sales!$B:$H,4,FALSE)</f>
        <v>3</v>
      </c>
      <c r="L992" s="5">
        <f t="shared" si="15"/>
        <v>51447</v>
      </c>
    </row>
    <row r="993" spans="1:12" x14ac:dyDescent="0.3">
      <c r="A993">
        <v>1047</v>
      </c>
      <c r="B993">
        <v>2016</v>
      </c>
      <c r="C993">
        <v>3003</v>
      </c>
      <c r="D993" t="str">
        <f>VLOOKUP('Sales table'!$A:$A,Customers!$A:$H,2,FALSE)</f>
        <v>Lynn Henderson</v>
      </c>
      <c r="E993">
        <f>VLOOKUP('Sales table'!$A:$A,Customers!$A:$H,4,FALSE)</f>
        <v>40</v>
      </c>
      <c r="F993" t="str">
        <f>VLOOKUP('Sales table'!$A:$A,Customers!$A:$H,5,FALSE)</f>
        <v>Delhi</v>
      </c>
      <c r="G993" t="str">
        <f>VLOOKUP($B:$B,Products!$A:$D,2,FALSE)</f>
        <v>Fairy Lights</v>
      </c>
      <c r="H993" t="str">
        <f>VLOOKUP($B:$B,Products!$A:$D,3,FALSE)</f>
        <v>Home Decor</v>
      </c>
      <c r="I993">
        <f>VLOOKUP($B:$B,Products!$A:$D,4,FALSE)</f>
        <v>12242</v>
      </c>
      <c r="J993" s="4">
        <f>VLOOKUP($A:$A,Sales!$B:$H,6,FALSE)</f>
        <v>45600</v>
      </c>
      <c r="K993" s="9">
        <f>VLOOKUP($A:$A,Sales!$B:$H,4,FALSE)</f>
        <v>5</v>
      </c>
      <c r="L993" s="5">
        <f t="shared" si="15"/>
        <v>61210</v>
      </c>
    </row>
    <row r="994" spans="1:12" x14ac:dyDescent="0.3">
      <c r="A994">
        <v>1082</v>
      </c>
      <c r="B994">
        <v>2015</v>
      </c>
      <c r="C994">
        <v>3010</v>
      </c>
      <c r="D994" t="str">
        <f>VLOOKUP('Sales table'!$A:$A,Customers!$A:$H,2,FALSE)</f>
        <v>Sharon Phillips</v>
      </c>
      <c r="E994">
        <f>VLOOKUP('Sales table'!$A:$A,Customers!$A:$H,4,FALSE)</f>
        <v>43</v>
      </c>
      <c r="F994" t="str">
        <f>VLOOKUP('Sales table'!$A:$A,Customers!$A:$H,5,FALSE)</f>
        <v>Bangalore</v>
      </c>
      <c r="G994" t="str">
        <f>VLOOKUP($B:$B,Products!$A:$D,2,FALSE)</f>
        <v>Candle Set</v>
      </c>
      <c r="H994" t="str">
        <f>VLOOKUP($B:$B,Products!$A:$D,3,FALSE)</f>
        <v>Home Decor</v>
      </c>
      <c r="I994">
        <f>VLOOKUP($B:$B,Products!$A:$D,4,FALSE)</f>
        <v>17604</v>
      </c>
      <c r="J994" s="4">
        <f>VLOOKUP($A:$A,Sales!$B:$H,6,FALSE)</f>
        <v>45613</v>
      </c>
      <c r="K994" s="9">
        <f>VLOOKUP($A:$A,Sales!$B:$H,4,FALSE)</f>
        <v>5</v>
      </c>
      <c r="L994" s="5">
        <f t="shared" si="15"/>
        <v>88020</v>
      </c>
    </row>
    <row r="995" spans="1:12" x14ac:dyDescent="0.3">
      <c r="A995">
        <v>1023</v>
      </c>
      <c r="B995">
        <v>2011</v>
      </c>
      <c r="C995">
        <v>3001</v>
      </c>
      <c r="D995" t="str">
        <f>VLOOKUP('Sales table'!$A:$A,Customers!$A:$H,2,FALSE)</f>
        <v>Daniel Williams</v>
      </c>
      <c r="E995">
        <f>VLOOKUP('Sales table'!$A:$A,Customers!$A:$H,4,FALSE)</f>
        <v>45</v>
      </c>
      <c r="F995" t="str">
        <f>VLOOKUP('Sales table'!$A:$A,Customers!$A:$H,5,FALSE)</f>
        <v>Pune</v>
      </c>
      <c r="G995" t="str">
        <f>VLOOKUP($B:$B,Products!$A:$D,2,FALSE)</f>
        <v>Festive Thali</v>
      </c>
      <c r="H995" t="str">
        <f>VLOOKUP($B:$B,Products!$A:$D,3,FALSE)</f>
        <v>Other</v>
      </c>
      <c r="I995">
        <f>VLOOKUP($B:$B,Products!$A:$D,4,FALSE)</f>
        <v>7481</v>
      </c>
      <c r="J995" s="4">
        <f>VLOOKUP($A:$A,Sales!$B:$H,6,FALSE)</f>
        <v>45581</v>
      </c>
      <c r="K995" s="9">
        <f>VLOOKUP($A:$A,Sales!$B:$H,4,FALSE)</f>
        <v>3</v>
      </c>
      <c r="L995" s="5">
        <f t="shared" si="15"/>
        <v>22443</v>
      </c>
    </row>
    <row r="996" spans="1:12" x14ac:dyDescent="0.3">
      <c r="A996">
        <v>1006</v>
      </c>
      <c r="B996">
        <v>2022</v>
      </c>
      <c r="C996">
        <v>3007</v>
      </c>
      <c r="D996" t="str">
        <f>VLOOKUP('Sales table'!$A:$A,Customers!$A:$H,2,FALSE)</f>
        <v>Melissa Peterson</v>
      </c>
      <c r="E996">
        <f>VLOOKUP('Sales table'!$A:$A,Customers!$A:$H,4,FALSE)</f>
        <v>49</v>
      </c>
      <c r="F996" t="str">
        <f>VLOOKUP('Sales table'!$A:$A,Customers!$A:$H,5,FALSE)</f>
        <v>Delhi</v>
      </c>
      <c r="G996" t="str">
        <f>VLOOKUP($B:$B,Products!$A:$D,2,FALSE)</f>
        <v>Home Decor Statue</v>
      </c>
      <c r="H996" t="str">
        <f>VLOOKUP($B:$B,Products!$A:$D,3,FALSE)</f>
        <v>Home Decor</v>
      </c>
      <c r="I996">
        <f>VLOOKUP($B:$B,Products!$A:$D,4,FALSE)</f>
        <v>17149</v>
      </c>
      <c r="J996" s="4">
        <f>VLOOKUP($A:$A,Sales!$B:$H,6,FALSE)</f>
        <v>45599</v>
      </c>
      <c r="K996" s="9">
        <f>VLOOKUP($A:$A,Sales!$B:$H,4,FALSE)</f>
        <v>4</v>
      </c>
      <c r="L996" s="5">
        <f t="shared" si="15"/>
        <v>68596</v>
      </c>
    </row>
    <row r="997" spans="1:12" x14ac:dyDescent="0.3">
      <c r="A997">
        <v>1144</v>
      </c>
      <c r="B997">
        <v>2020</v>
      </c>
      <c r="C997">
        <v>3024</v>
      </c>
      <c r="D997" t="str">
        <f>VLOOKUP('Sales table'!$A:$A,Customers!$A:$H,2,FALSE)</f>
        <v>Amanda Henry</v>
      </c>
      <c r="E997">
        <f>VLOOKUP('Sales table'!$A:$A,Customers!$A:$H,4,FALSE)</f>
        <v>63</v>
      </c>
      <c r="F997" t="str">
        <f>VLOOKUP('Sales table'!$A:$A,Customers!$A:$H,5,FALSE)</f>
        <v>Hyderabad</v>
      </c>
      <c r="G997" t="str">
        <f>VLOOKUP($B:$B,Products!$A:$D,2,FALSE)</f>
        <v>Ethnic Jewelry</v>
      </c>
      <c r="H997" t="str">
        <f>VLOOKUP($B:$B,Products!$A:$D,3,FALSE)</f>
        <v>Precious Items</v>
      </c>
      <c r="I997">
        <f>VLOOKUP($B:$B,Products!$A:$D,4,FALSE)</f>
        <v>4495</v>
      </c>
      <c r="J997" s="4">
        <f>VLOOKUP($A:$A,Sales!$B:$H,6,FALSE)</f>
        <v>45595</v>
      </c>
      <c r="K997" s="9">
        <f>VLOOKUP($A:$A,Sales!$B:$H,4,FALSE)</f>
        <v>5</v>
      </c>
      <c r="L997" s="5">
        <f t="shared" si="15"/>
        <v>22475</v>
      </c>
    </row>
    <row r="998" spans="1:12" x14ac:dyDescent="0.3">
      <c r="A998">
        <v>1019</v>
      </c>
      <c r="B998">
        <v>2007</v>
      </c>
      <c r="C998">
        <v>3001</v>
      </c>
      <c r="D998" t="str">
        <f>VLOOKUP('Sales table'!$A:$A,Customers!$A:$H,2,FALSE)</f>
        <v>Brenda Dunn</v>
      </c>
      <c r="E998">
        <f>VLOOKUP('Sales table'!$A:$A,Customers!$A:$H,4,FALSE)</f>
        <v>23</v>
      </c>
      <c r="F998" t="str">
        <f>VLOOKUP('Sales table'!$A:$A,Customers!$A:$H,5,FALSE)</f>
        <v>Pune</v>
      </c>
      <c r="G998" t="str">
        <f>VLOOKUP($B:$B,Products!$A:$D,2,FALSE)</f>
        <v>Gift Hamper</v>
      </c>
      <c r="H998" t="str">
        <f>VLOOKUP($B:$B,Products!$A:$D,3,FALSE)</f>
        <v>Sweets &amp; Gifts</v>
      </c>
      <c r="I998">
        <f>VLOOKUP($B:$B,Products!$A:$D,4,FALSE)</f>
        <v>3412</v>
      </c>
      <c r="J998" s="4">
        <f>VLOOKUP($A:$A,Sales!$B:$H,6,FALSE)</f>
        <v>45607</v>
      </c>
      <c r="K998" s="9">
        <f>VLOOKUP($A:$A,Sales!$B:$H,4,FALSE)</f>
        <v>3</v>
      </c>
      <c r="L998" s="5">
        <f t="shared" si="15"/>
        <v>10236</v>
      </c>
    </row>
    <row r="999" spans="1:12" x14ac:dyDescent="0.3">
      <c r="A999">
        <v>1270</v>
      </c>
      <c r="B999">
        <v>2016</v>
      </c>
      <c r="C999">
        <v>3026</v>
      </c>
      <c r="D999" t="str">
        <f>VLOOKUP('Sales table'!$A:$A,Customers!$A:$H,2,FALSE)</f>
        <v>Keith Diaz</v>
      </c>
      <c r="E999">
        <f>VLOOKUP('Sales table'!$A:$A,Customers!$A:$H,4,FALSE)</f>
        <v>45</v>
      </c>
      <c r="F999" t="str">
        <f>VLOOKUP('Sales table'!$A:$A,Customers!$A:$H,5,FALSE)</f>
        <v>Pune</v>
      </c>
      <c r="G999" t="str">
        <f>VLOOKUP($B:$B,Products!$A:$D,2,FALSE)</f>
        <v>Fairy Lights</v>
      </c>
      <c r="H999" t="str">
        <f>VLOOKUP($B:$B,Products!$A:$D,3,FALSE)</f>
        <v>Home Decor</v>
      </c>
      <c r="I999">
        <f>VLOOKUP($B:$B,Products!$A:$D,4,FALSE)</f>
        <v>12242</v>
      </c>
      <c r="J999" s="4">
        <f>VLOOKUP($A:$A,Sales!$B:$H,6,FALSE)</f>
        <v>45575</v>
      </c>
      <c r="K999" s="9">
        <f>VLOOKUP($A:$A,Sales!$B:$H,4,FALSE)</f>
        <v>2</v>
      </c>
      <c r="L999" s="5">
        <f t="shared" si="15"/>
        <v>24484</v>
      </c>
    </row>
    <row r="1000" spans="1:12" x14ac:dyDescent="0.3">
      <c r="A1000">
        <v>1099</v>
      </c>
      <c r="B1000">
        <v>2020</v>
      </c>
      <c r="C1000">
        <v>3021</v>
      </c>
      <c r="D1000" t="str">
        <f>VLOOKUP('Sales table'!$A:$A,Customers!$A:$H,2,FALSE)</f>
        <v>Paul Chan</v>
      </c>
      <c r="E1000">
        <f>VLOOKUP('Sales table'!$A:$A,Customers!$A:$H,4,FALSE)</f>
        <v>62</v>
      </c>
      <c r="F1000" t="str">
        <f>VLOOKUP('Sales table'!$A:$A,Customers!$A:$H,5,FALSE)</f>
        <v>Hyderabad</v>
      </c>
      <c r="G1000" t="str">
        <f>VLOOKUP($B:$B,Products!$A:$D,2,FALSE)</f>
        <v>Ethnic Jewelry</v>
      </c>
      <c r="H1000" t="str">
        <f>VLOOKUP($B:$B,Products!$A:$D,3,FALSE)</f>
        <v>Precious Items</v>
      </c>
      <c r="I1000">
        <f>VLOOKUP($B:$B,Products!$A:$D,4,FALSE)</f>
        <v>4495</v>
      </c>
      <c r="J1000" s="4">
        <f>VLOOKUP($A:$A,Sales!$B:$H,6,FALSE)</f>
        <v>45601</v>
      </c>
      <c r="K1000" s="9">
        <f>VLOOKUP($A:$A,Sales!$B:$H,4,FALSE)</f>
        <v>5</v>
      </c>
      <c r="L1000" s="5">
        <f t="shared" si="15"/>
        <v>22475</v>
      </c>
    </row>
    <row r="1001" spans="1:12" x14ac:dyDescent="0.3">
      <c r="A1001">
        <v>1188</v>
      </c>
      <c r="B1001">
        <v>2012</v>
      </c>
      <c r="C1001">
        <v>3016</v>
      </c>
      <c r="D1001" t="str">
        <f>VLOOKUP('Sales table'!$A:$A,Customers!$A:$H,2,FALSE)</f>
        <v>Timothy Graham</v>
      </c>
      <c r="E1001">
        <f>VLOOKUP('Sales table'!$A:$A,Customers!$A:$H,4,FALSE)</f>
        <v>33</v>
      </c>
      <c r="F1001" t="str">
        <f>VLOOKUP('Sales table'!$A:$A,Customers!$A:$H,5,FALSE)</f>
        <v>Kolkata</v>
      </c>
      <c r="G1001" t="str">
        <f>VLOOKUP($B:$B,Products!$A:$D,2,FALSE)</f>
        <v>Wall Hanging</v>
      </c>
      <c r="H1001" t="str">
        <f>VLOOKUP($B:$B,Products!$A:$D,3,FALSE)</f>
        <v>Home Decor</v>
      </c>
      <c r="I1001">
        <f>VLOOKUP($B:$B,Products!$A:$D,4,FALSE)</f>
        <v>11867</v>
      </c>
      <c r="J1001" s="4">
        <f>VLOOKUP($A:$A,Sales!$B:$H,6,FALSE)</f>
        <v>45581</v>
      </c>
      <c r="K1001" s="9">
        <f>VLOOKUP($A:$A,Sales!$B:$H,4,FALSE)</f>
        <v>3</v>
      </c>
      <c r="L1001" s="5">
        <f t="shared" si="15"/>
        <v>35601</v>
      </c>
    </row>
  </sheetData>
  <conditionalFormatting sqref="L1:L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9595-F0B8-457A-9D01-244396C92885}">
  <dimension ref="A1:J11"/>
  <sheetViews>
    <sheetView workbookViewId="0">
      <selection activeCell="I4" sqref="I2:I4"/>
      <pivotSelection pane="bottomRight" showHeader="1" axis="axisRow" activeRow="3" activeCol="8" previousRow="3" previousCol="8" click="1" r:id="rId1">
        <pivotArea dataOnly="0" labelOnly="1" fieldPosition="0">
          <references count="1">
            <reference field="13" count="0"/>
          </references>
        </pivotArea>
      </pivotSelection>
    </sheetView>
  </sheetViews>
  <sheetFormatPr defaultRowHeight="14.4" x14ac:dyDescent="0.3"/>
  <cols>
    <col min="1" max="1" width="12.88671875" bestFit="1" customWidth="1"/>
    <col min="2" max="2" width="19" bestFit="1" customWidth="1"/>
    <col min="5" max="5" width="12.88671875" bestFit="1" customWidth="1"/>
    <col min="6" max="6" width="19.44140625" bestFit="1" customWidth="1"/>
    <col min="9" max="9" width="13.33203125" bestFit="1" customWidth="1"/>
    <col min="10" max="10" width="11.5546875" bestFit="1" customWidth="1"/>
  </cols>
  <sheetData>
    <row r="1" spans="1:10" x14ac:dyDescent="0.3">
      <c r="A1" s="11" t="s">
        <v>920</v>
      </c>
      <c r="B1" s="12" t="s">
        <v>924</v>
      </c>
      <c r="E1" s="11" t="s">
        <v>920</v>
      </c>
      <c r="F1" s="12" t="s">
        <v>925</v>
      </c>
      <c r="I1" s="11" t="s">
        <v>920</v>
      </c>
      <c r="J1" s="12" t="s">
        <v>923</v>
      </c>
    </row>
    <row r="2" spans="1:10" x14ac:dyDescent="0.3">
      <c r="A2" s="13" t="s">
        <v>356</v>
      </c>
      <c r="B2" s="14">
        <v>4174074</v>
      </c>
      <c r="E2" s="13" t="s">
        <v>356</v>
      </c>
      <c r="F2" s="14">
        <v>250</v>
      </c>
      <c r="I2" s="13" t="s">
        <v>926</v>
      </c>
      <c r="J2" s="14"/>
    </row>
    <row r="3" spans="1:10" x14ac:dyDescent="0.3">
      <c r="A3" s="13" t="s">
        <v>328</v>
      </c>
      <c r="B3" s="14">
        <v>5501407</v>
      </c>
      <c r="E3" s="13" t="s">
        <v>328</v>
      </c>
      <c r="F3" s="14">
        <v>540</v>
      </c>
      <c r="I3" s="13" t="s">
        <v>927</v>
      </c>
      <c r="J3" s="14">
        <v>4777604</v>
      </c>
    </row>
    <row r="4" spans="1:10" x14ac:dyDescent="0.3">
      <c r="A4" s="13" t="s">
        <v>335</v>
      </c>
      <c r="B4" s="14">
        <v>1374840</v>
      </c>
      <c r="E4" s="13" t="s">
        <v>335</v>
      </c>
      <c r="F4" s="14">
        <v>114</v>
      </c>
      <c r="I4" s="13" t="s">
        <v>928</v>
      </c>
      <c r="J4" s="14">
        <v>5889998</v>
      </c>
    </row>
    <row r="5" spans="1:10" x14ac:dyDescent="0.3">
      <c r="A5" s="13" t="s">
        <v>331</v>
      </c>
      <c r="B5" s="14">
        <v>4427567</v>
      </c>
      <c r="E5" s="13" t="s">
        <v>331</v>
      </c>
      <c r="F5" s="14">
        <v>393</v>
      </c>
      <c r="I5" s="13" t="s">
        <v>922</v>
      </c>
      <c r="J5" s="14">
        <v>10667602</v>
      </c>
    </row>
    <row r="6" spans="1:10" x14ac:dyDescent="0.3">
      <c r="A6" s="13" t="s">
        <v>333</v>
      </c>
      <c r="B6" s="14">
        <v>8544092</v>
      </c>
      <c r="E6" s="13" t="s">
        <v>333</v>
      </c>
      <c r="F6" s="14">
        <v>796</v>
      </c>
    </row>
    <row r="7" spans="1:10" x14ac:dyDescent="0.3">
      <c r="A7" s="13" t="s">
        <v>341</v>
      </c>
      <c r="B7" s="14">
        <v>1159555</v>
      </c>
      <c r="E7" s="13" t="s">
        <v>341</v>
      </c>
      <c r="F7" s="14">
        <v>155</v>
      </c>
    </row>
    <row r="8" spans="1:10" x14ac:dyDescent="0.3">
      <c r="A8" s="13" t="s">
        <v>344</v>
      </c>
      <c r="B8" s="14">
        <v>3196735</v>
      </c>
      <c r="E8" s="13" t="s">
        <v>344</v>
      </c>
      <c r="F8" s="14">
        <v>327</v>
      </c>
    </row>
    <row r="9" spans="1:10" x14ac:dyDescent="0.3">
      <c r="A9" s="13" t="s">
        <v>326</v>
      </c>
      <c r="B9" s="14">
        <v>3867369</v>
      </c>
      <c r="E9" s="13" t="s">
        <v>326</v>
      </c>
      <c r="F9" s="14">
        <v>440</v>
      </c>
    </row>
    <row r="10" spans="1:10" x14ac:dyDescent="0.3">
      <c r="A10" s="13" t="s">
        <v>921</v>
      </c>
      <c r="B10" s="14"/>
      <c r="E10" s="13" t="s">
        <v>921</v>
      </c>
      <c r="F10" s="14"/>
    </row>
    <row r="11" spans="1:10" x14ac:dyDescent="0.3">
      <c r="A11" s="13" t="s">
        <v>922</v>
      </c>
      <c r="B11" s="14">
        <v>32245639</v>
      </c>
      <c r="E11" s="13" t="s">
        <v>922</v>
      </c>
      <c r="F11" s="14">
        <v>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Stores</vt:lpstr>
      <vt:lpstr>Sales</vt:lpstr>
      <vt:lpstr>Products</vt:lpstr>
      <vt:lpstr>Sales table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ravichandran</cp:lastModifiedBy>
  <dcterms:created xsi:type="dcterms:W3CDTF">2025-09-24T16:14:31Z</dcterms:created>
  <dcterms:modified xsi:type="dcterms:W3CDTF">2025-09-29T15:17:39Z</dcterms:modified>
</cp:coreProperties>
</file>